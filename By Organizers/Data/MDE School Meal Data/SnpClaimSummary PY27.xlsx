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bass\Downloads\FSM Meal Count SNP\"/>
    </mc:Choice>
  </mc:AlternateContent>
  <xr:revisionPtr revIDLastSave="0" documentId="13_ncr:1_{BC13CE5B-4F09-4F66-91E9-05D6D6A7D304}" xr6:coauthVersionLast="47" xr6:coauthVersionMax="47" xr10:uidLastSave="{00000000-0000-0000-0000-000000000000}"/>
  <bookViews>
    <workbookView xWindow="-120" yWindow="-120" windowWidth="51840" windowHeight="21120" firstSheet="2" activeTab="2" xr2:uid="{00000000-000D-0000-FFFF-FFFF00000000}"/>
  </bookViews>
  <sheets>
    <sheet name="Report" sheetId="5" state="hidden" r:id="rId1"/>
    <sheet name="Data" sheetId="2" state="hidden" r:id="rId2"/>
    <sheet name="Breakfast Meal Count" sheetId="7" r:id="rId3"/>
    <sheet name="Lunch Meal Count" sheetId="8" r:id="rId4"/>
    <sheet name="Afterschool Snacks" sheetId="9" r:id="rId5"/>
  </sheets>
  <definedNames>
    <definedName name="DataRows">OFFSET(Data!$A$1,0,0,COUNTA(Data!$A:$A),22)</definedName>
  </definedNames>
  <calcPr calcId="191029"/>
  <pivotCaches>
    <pivotCache cacheId="1" r:id="rId6"/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 l="1"/>
  <c r="C2" i="5" l="1"/>
</calcChain>
</file>

<file path=xl/sharedStrings.xml><?xml version="1.0" encoding="utf-8"?>
<sst xmlns="http://schemas.openxmlformats.org/spreadsheetml/2006/main" count="6855" uniqueCount="163">
  <si>
    <t>(All)</t>
  </si>
  <si>
    <t>Grand Total</t>
  </si>
  <si>
    <t>Sponsor Id</t>
  </si>
  <si>
    <t>Sponsor Name</t>
  </si>
  <si>
    <t>Site Id</t>
  </si>
  <si>
    <t>Site Name</t>
  </si>
  <si>
    <t>Claim Discriminator</t>
  </si>
  <si>
    <t>Claim Year</t>
  </si>
  <si>
    <t>Claim Month</t>
  </si>
  <si>
    <t>Adjust Number</t>
  </si>
  <si>
    <t>Claim Status</t>
  </si>
  <si>
    <t>Meal Type</t>
  </si>
  <si>
    <t>Meal Sub Type</t>
  </si>
  <si>
    <t>Rate Type</t>
  </si>
  <si>
    <t>Govt</t>
  </si>
  <si>
    <t>Shift</t>
  </si>
  <si>
    <t>Major Budget Code</t>
  </si>
  <si>
    <t>Minor Budget Code</t>
  </si>
  <si>
    <t>Line Item Status</t>
  </si>
  <si>
    <t>Rate</t>
  </si>
  <si>
    <t>Run Date</t>
  </si>
  <si>
    <t>Meal Count</t>
  </si>
  <si>
    <t>Data</t>
  </si>
  <si>
    <t>Program</t>
  </si>
  <si>
    <t>Sponsor</t>
  </si>
  <si>
    <t>MDE Claim Summary</t>
  </si>
  <si>
    <t>Major</t>
  </si>
  <si>
    <t>Minor</t>
  </si>
  <si>
    <t>Site</t>
  </si>
  <si>
    <t>Total Count</t>
  </si>
  <si>
    <t>Count</t>
  </si>
  <si>
    <t>Approved Payment</t>
  </si>
  <si>
    <t>Total Amount</t>
  </si>
  <si>
    <t>Amount</t>
  </si>
  <si>
    <t>Year</t>
  </si>
  <si>
    <t>Month</t>
  </si>
  <si>
    <t>Rate Sub Type</t>
  </si>
  <si>
    <t>AIM Academy of Science &amp; Technology</t>
  </si>
  <si>
    <t>SNP</t>
  </si>
  <si>
    <t>APPR</t>
  </si>
  <si>
    <t>Breakfast</t>
  </si>
  <si>
    <t>Free</t>
  </si>
  <si>
    <t>Federal</t>
  </si>
  <si>
    <t>10553</t>
  </si>
  <si>
    <t xml:space="preserve"> </t>
  </si>
  <si>
    <t>Resolved</t>
  </si>
  <si>
    <t>Severe need</t>
  </si>
  <si>
    <t>Lunch</t>
  </si>
  <si>
    <t>10555</t>
  </si>
  <si>
    <t>004</t>
  </si>
  <si>
    <t>60 percent or over</t>
  </si>
  <si>
    <t>HHFKA</t>
  </si>
  <si>
    <t>006</t>
  </si>
  <si>
    <t>Qualified</t>
  </si>
  <si>
    <t>Total</t>
  </si>
  <si>
    <t>002</t>
  </si>
  <si>
    <t>State</t>
  </si>
  <si>
    <t>S6201</t>
  </si>
  <si>
    <t>MN-FSM</t>
  </si>
  <si>
    <t>Arrowhead Juvenile Detention Center</t>
  </si>
  <si>
    <t>Browerville ISD #787</t>
  </si>
  <si>
    <t>Browerville Elementary</t>
  </si>
  <si>
    <t>After School Snack</t>
  </si>
  <si>
    <t>SNA</t>
  </si>
  <si>
    <t>Reduced</t>
  </si>
  <si>
    <t>Regular</t>
  </si>
  <si>
    <t>Less than 60 percent</t>
  </si>
  <si>
    <t>S6210</t>
  </si>
  <si>
    <t>MN-FSM Severe Need</t>
  </si>
  <si>
    <t>Browerville Secondary</t>
  </si>
  <si>
    <t>Centennial ISD #12</t>
  </si>
  <si>
    <t>Blue Heron Elementary</t>
  </si>
  <si>
    <t>Non-severe need</t>
  </si>
  <si>
    <t>MN-FSM Non-severe Need</t>
  </si>
  <si>
    <t>Central School District ISD #108</t>
  </si>
  <si>
    <t>Central Elementary</t>
  </si>
  <si>
    <t>Detroit Lakes ISD #22</t>
  </si>
  <si>
    <t>Detroit Lakes High School</t>
  </si>
  <si>
    <t>Roosevelt Elementary</t>
  </si>
  <si>
    <t>Eastern Carver County School ISD #112</t>
  </si>
  <si>
    <t>Carver Elementary School</t>
  </si>
  <si>
    <t>Chanhassen High School</t>
  </si>
  <si>
    <t>Fergus Falls ISD #544</t>
  </si>
  <si>
    <t xml:space="preserve">Kennedy Secondary </t>
  </si>
  <si>
    <t>Gerard Treatment Programs</t>
  </si>
  <si>
    <t>Gerard Academy</t>
  </si>
  <si>
    <t>Heartland Girls Ranch</t>
  </si>
  <si>
    <t>Hennepin Cty Dept of Community Corrections &amp; Rehabilitation</t>
  </si>
  <si>
    <t>Hennepin County Juvenile Detention Center</t>
  </si>
  <si>
    <t>Hill City ISD #2</t>
  </si>
  <si>
    <t>Hill City Elementary</t>
  </si>
  <si>
    <t>Hopkins Golden Valley ISD #270</t>
  </si>
  <si>
    <t>Transition Plus - Hopkins ISD</t>
  </si>
  <si>
    <t>Leo A Hoffmann Center</t>
  </si>
  <si>
    <t>Hoffman Learning Center - North Cottage</t>
  </si>
  <si>
    <t>Metro Deaf School</t>
  </si>
  <si>
    <t>Kindergarten</t>
  </si>
  <si>
    <t>MN-FSM Kindergarten</t>
  </si>
  <si>
    <t>Minnesota State Academies for the Deaf &amp; Blind</t>
  </si>
  <si>
    <t>Academy for the Blind</t>
  </si>
  <si>
    <t>Academy for the Deaf</t>
  </si>
  <si>
    <t>MN Correctional Facility Red Wing</t>
  </si>
  <si>
    <t>MN Correctional Facility - Red Wing</t>
  </si>
  <si>
    <t>Mounds View ISD #621</t>
  </si>
  <si>
    <t>Chippewa Middle</t>
  </si>
  <si>
    <t>Island Lake Elementary</t>
  </si>
  <si>
    <t>Mounds View Senior</t>
  </si>
  <si>
    <t>Turtle Lake Elementary</t>
  </si>
  <si>
    <t>Nexus Inc</t>
  </si>
  <si>
    <t>Aspen House</t>
  </si>
  <si>
    <t>Mille Lacs Academy</t>
  </si>
  <si>
    <t>North Homes Inc</t>
  </si>
  <si>
    <t>Itaskin Education Center</t>
  </si>
  <si>
    <t>Northfield ISD #659</t>
  </si>
  <si>
    <t>Greenvale Park Elementary</t>
  </si>
  <si>
    <t>Northfield Middle School</t>
  </si>
  <si>
    <t>Northwestern MN Juvenile Center</t>
  </si>
  <si>
    <t>Northwood Childrens Services</t>
  </si>
  <si>
    <t>Main Campus</t>
  </si>
  <si>
    <t>West Campus</t>
  </si>
  <si>
    <t>Ramsey County Community Corrections Dept</t>
  </si>
  <si>
    <t>Ramsey County Juvenile Detention Center</t>
  </si>
  <si>
    <t>Richfield ISD #280</t>
  </si>
  <si>
    <t>Central Education Center</t>
  </si>
  <si>
    <t>Rochester ISD #535</t>
  </si>
  <si>
    <t>Longfellow Elementary</t>
  </si>
  <si>
    <t>Roseville ISD #623</t>
  </si>
  <si>
    <t>Harambee Elementary</t>
  </si>
  <si>
    <t>Quora Education Center</t>
  </si>
  <si>
    <t>Roseville High School</t>
  </si>
  <si>
    <t>Shakopee ISD #720</t>
  </si>
  <si>
    <t>Shakopee Junior High East</t>
  </si>
  <si>
    <t>Shakopee Senior High</t>
  </si>
  <si>
    <t>Sun Path Elementary</t>
  </si>
  <si>
    <t>South Washington County ISD #833</t>
  </si>
  <si>
    <t>Cottage Grove Elementary</t>
  </si>
  <si>
    <t>Cottage Grove Middle School</t>
  </si>
  <si>
    <t>East Ridge High School</t>
  </si>
  <si>
    <t>Red Rock Elementary</t>
  </si>
  <si>
    <t>Southern Minnesota Education Consortium</t>
  </si>
  <si>
    <t>Southern MN Education Consortium Ed Center</t>
  </si>
  <si>
    <t>St Francis ISD #15</t>
  </si>
  <si>
    <t>East Bethel Community Elementary</t>
  </si>
  <si>
    <t>St Louis Park ISD #283</t>
  </si>
  <si>
    <t>Peter Hobart Elementary</t>
  </si>
  <si>
    <t>Verndale Area Christian Academy</t>
  </si>
  <si>
    <t>Village Ranch</t>
  </si>
  <si>
    <t>Village Ranch - Annandale</t>
  </si>
  <si>
    <t>Village Ranch - Cokato</t>
  </si>
  <si>
    <t>Wayzata ISD #284</t>
  </si>
  <si>
    <t>Plymouth Creek Elementary</t>
  </si>
  <si>
    <t>Wayzata Central Middle</t>
  </si>
  <si>
    <t>Wayzata Senior</t>
  </si>
  <si>
    <t>West Central Regional Juvenile Center</t>
  </si>
  <si>
    <t>White Bear Lake ISD #624</t>
  </si>
  <si>
    <t>916 Bellaire Education Center</t>
  </si>
  <si>
    <t>Lakeaires Elementary</t>
  </si>
  <si>
    <t>North Star Elementary</t>
  </si>
  <si>
    <t>Otter Lake Elementary</t>
  </si>
  <si>
    <t>(blank)</t>
  </si>
  <si>
    <t>Sum of Meal Count</t>
  </si>
  <si>
    <t>PY27</t>
  </si>
  <si>
    <t xml:space="preserve">PY27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</si>
</sst>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0"/>
    <numFmt numFmtId="165" formatCode="0.0000"/>
    <numFmt numFmtId="166" formatCode="m/d/yy\ h:mm;@"/>
    <numFmt numFmtId="167" formatCode="[$-409]mmmm\ d\,\ yyyy;@"/>
    <numFmt numFmtId="168" formatCode="&quot;$&quot;#,##0.00"/>
    <numFmt numFmtId="169" formatCode="_(* #,##0_);_(* \(#,##0\);_(* &quot;-&quot;??_);_(@_)"/>
  </numFmts>
  <fonts count="23" x14ac:knownFonts="1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9"/>
      <name val="Arial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indexed="65"/>
      </left>
      <right style="thin">
        <color indexed="64"/>
      </right>
      <top style="thin">
        <color rgb="FF9999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/>
      <top style="thin">
        <color rgb="FF999999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/>
  </cellStyleXfs>
  <cellXfs count="49">
    <xf numFmtId="0" fontId="0" fillId="0" borderId="0" xfId="0"/>
    <xf numFmtId="0" fontId="0" fillId="0" borderId="10" xfId="0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4" fontId="0" fillId="0" borderId="0" xfId="0" applyNumberFormat="1"/>
    <xf numFmtId="0" fontId="19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top"/>
    </xf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167" fontId="0" fillId="0" borderId="14" xfId="0" applyNumberFormat="1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20" xfId="0" pivotButton="1" applyBorder="1"/>
    <xf numFmtId="0" fontId="0" fillId="0" borderId="21" xfId="0" pivotButton="1" applyBorder="1"/>
    <xf numFmtId="0" fontId="0" fillId="0" borderId="22" xfId="0" applyBorder="1"/>
    <xf numFmtId="0" fontId="0" fillId="0" borderId="23" xfId="0" applyBorder="1"/>
    <xf numFmtId="0" fontId="0" fillId="0" borderId="29" xfId="0" pivotButton="1" applyBorder="1"/>
    <xf numFmtId="0" fontId="0" fillId="0" borderId="29" xfId="0" applyBorder="1"/>
    <xf numFmtId="3" fontId="0" fillId="0" borderId="20" xfId="0" applyNumberFormat="1" applyBorder="1" applyAlignment="1">
      <alignment vertical="top"/>
    </xf>
    <xf numFmtId="168" fontId="0" fillId="0" borderId="25" xfId="0" applyNumberFormat="1" applyBorder="1" applyAlignment="1">
      <alignment vertical="top"/>
    </xf>
    <xf numFmtId="168" fontId="0" fillId="0" borderId="24" xfId="0" applyNumberFormat="1" applyBorder="1" applyAlignment="1">
      <alignment vertical="top"/>
    </xf>
    <xf numFmtId="168" fontId="0" fillId="0" borderId="28" xfId="0" applyNumberFormat="1" applyBorder="1" applyAlignment="1">
      <alignment vertical="top"/>
    </xf>
    <xf numFmtId="0" fontId="0" fillId="0" borderId="20" xfId="0" applyBorder="1" applyAlignment="1">
      <alignment vertical="top" wrapText="1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30" xfId="0" applyBorder="1"/>
    <xf numFmtId="0" fontId="0" fillId="0" borderId="31" xfId="0" applyBorder="1"/>
    <xf numFmtId="0" fontId="0" fillId="0" borderId="32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23" xfId="0" applyBorder="1" applyAlignment="1">
      <alignment vertical="top" wrapText="1"/>
    </xf>
    <xf numFmtId="0" fontId="20" fillId="0" borderId="0" xfId="42" applyFont="1"/>
    <xf numFmtId="0" fontId="21" fillId="0" borderId="0" xfId="42" applyFont="1"/>
    <xf numFmtId="0" fontId="19" fillId="0" borderId="0" xfId="42"/>
    <xf numFmtId="0" fontId="20" fillId="0" borderId="0" xfId="0" pivotButton="1" applyFont="1"/>
    <xf numFmtId="0" fontId="20" fillId="0" borderId="0" xfId="0" applyFont="1"/>
    <xf numFmtId="169" fontId="20" fillId="0" borderId="0" xfId="0" applyNumberFormat="1" applyFont="1"/>
    <xf numFmtId="168" fontId="0" fillId="0" borderId="29" xfId="0" applyNumberFormat="1" applyFont="1" applyBorder="1" applyAlignment="1">
      <alignment vertical="top"/>
    </xf>
    <xf numFmtId="3" fontId="22" fillId="0" borderId="26" xfId="0" applyNumberFormat="1" applyFont="1" applyBorder="1" applyAlignment="1">
      <alignment vertical="top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CD3339A4-5E2C-488A-927E-99C3A5D7F672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77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right" readingOrder="0"/>
    </dxf>
    <dxf>
      <numFmt numFmtId="3" formatCode="#,##0"/>
    </dxf>
    <dxf>
      <numFmt numFmtId="168" formatCode="&quot;$&quot;#,##0.00"/>
    </dxf>
    <dxf>
      <border>
        <bottom style="thin">
          <color indexed="64"/>
        </bottom>
      </border>
    </dxf>
    <dxf>
      <font>
        <color indexed="9"/>
      </font>
    </dxf>
    <dxf>
      <font>
        <color indexed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69" formatCode="_(* #,##0_);_(* \(#,##0\);_(* &quot;-&quot;??_);_(@_)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69" formatCode="_(* #,##0_);_(* \(#,##0\);_(* &quot;-&quot;??_);_(@_)"/>
    </dxf>
    <dxf>
      <font>
        <color indexed="9"/>
      </font>
    </dxf>
    <dxf>
      <font>
        <color indexed="9"/>
      </font>
    </dxf>
    <dxf>
      <border>
        <bottom style="thin">
          <color indexed="64"/>
        </bottom>
      </border>
    </dxf>
    <dxf>
      <numFmt numFmtId="168" formatCode="&quot;$&quot;#,##0.00"/>
    </dxf>
    <dxf>
      <numFmt numFmtId="3" formatCode="#,##0"/>
    </dxf>
    <dxf>
      <alignment horizontal="right" readingOrder="0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69" formatCode="_(* #,##0_);_(* \(#,##0\);_(* &quot;-&quot;??_);_(@_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ass, Hassan" refreshedDate="46268.656353009261" createdVersion="8" refreshedVersion="8" minRefreshableVersion="3" recordCount="596" xr:uid="{5CFCD939-A30D-44A2-990E-925D518BBB08}">
  <cacheSource type="worksheet">
    <worksheetSource ref="A1:V597" sheet="Data"/>
  </cacheSource>
  <cacheFields count="22">
    <cacheField name="Sponsor Id" numFmtId="0">
      <sharedItems containsSemiMixedTypes="0" containsString="0" containsNumber="1" containsInteger="1" minValue="1000003503" maxValue="2000010482"/>
    </cacheField>
    <cacheField name="Sponsor Name" numFmtId="0">
      <sharedItems/>
    </cacheField>
    <cacheField name="Site Id" numFmtId="0">
      <sharedItems containsSemiMixedTypes="0" containsString="0" containsNumber="1" containsInteger="1" minValue="1000001232" maxValue="9000021216" count="60">
        <n v="9000019333"/>
        <n v="1000003253"/>
        <n v="1000002360"/>
        <n v="1000005599"/>
        <n v="1000005502"/>
        <n v="1000001397"/>
        <n v="1000001309"/>
        <n v="1000001314"/>
        <n v="9000016559"/>
        <n v="9000010067"/>
        <n v="1000001950"/>
        <n v="1000004769"/>
        <n v="1000003270"/>
        <n v="1000003180"/>
        <n v="1000001232"/>
        <n v="9000021216"/>
        <n v="1000006278"/>
        <n v="1000002810"/>
        <n v="1000003242"/>
        <n v="1000003245"/>
        <n v="1000003169"/>
        <n v="1000002006"/>
        <n v="1000001992"/>
        <n v="1000002002"/>
        <n v="1000001998"/>
        <n v="9000021028"/>
        <n v="1000003177"/>
        <n v="1000005103"/>
        <n v="1000002194"/>
        <n v="1000006293"/>
        <n v="1000003132"/>
        <n v="1000003255"/>
        <n v="1000003249"/>
        <n v="1000003229"/>
        <n v="9000017496"/>
        <n v="1000001934"/>
        <n v="1000003110"/>
        <n v="1000002804"/>
        <n v="1000002022"/>
        <n v="1000002271"/>
        <n v="1000006709"/>
        <n v="1000004573"/>
        <n v="1000005496"/>
        <n v="1000002396"/>
        <n v="9000010030"/>
        <n v="1000005236"/>
        <n v="9000018188"/>
        <n v="1000001301"/>
        <n v="1000001723"/>
        <n v="9000017450"/>
        <n v="9000016676"/>
        <n v="1000003205"/>
        <n v="1000001733"/>
        <n v="1000001728"/>
        <n v="1000001725"/>
        <n v="1000006261"/>
        <n v="1000002037"/>
        <n v="1000002041"/>
        <n v="9000020500"/>
        <n v="1000002039"/>
      </sharedItems>
    </cacheField>
    <cacheField name="Site Name" numFmtId="0">
      <sharedItems count="60">
        <s v="AIM Academy of Science &amp; Technology"/>
        <s v="Arrowhead Juvenile Detention Center"/>
        <s v="Browerville Elementary"/>
        <s v="Browerville Secondary"/>
        <s v="Blue Heron Elementary"/>
        <s v="Central Elementary"/>
        <s v="Detroit Lakes High School"/>
        <s v="Roosevelt Elementary"/>
        <s v="Carver Elementary School"/>
        <s v="Chanhassen High School"/>
        <s v="Kennedy Secondary "/>
        <s v="Gerard Academy"/>
        <s v="Heartland Girls Ranch"/>
        <s v="Hennepin County Juvenile Detention Center"/>
        <s v="Hill City Elementary"/>
        <s v="Transition Plus - Hopkins ISD"/>
        <s v="Hoffman Learning Center - North Cottage"/>
        <s v="Metro Deaf School"/>
        <s v="Academy for the Blind"/>
        <s v="Academy for the Deaf"/>
        <s v="MN Correctional Facility - Red Wing"/>
        <s v="Chippewa Middle"/>
        <s v="Island Lake Elementary"/>
        <s v="Mounds View Senior"/>
        <s v="Turtle Lake Elementary"/>
        <s v="Aspen House"/>
        <s v="Mille Lacs Academy"/>
        <s v="Itaskin Education Center"/>
        <s v="Greenvale Park Elementary"/>
        <s v="Northfield Middle School"/>
        <s v="Northwestern MN Juvenile Center"/>
        <s v="Main Campus"/>
        <s v="West Campus"/>
        <s v="Ramsey County Juvenile Detention Center"/>
        <s v="Central Education Center"/>
        <s v="Longfellow Elementary"/>
        <s v="Harambee Elementary"/>
        <s v="Quora Education Center"/>
        <s v="Roseville High School"/>
        <s v="Shakopee Junior High East"/>
        <s v="Shakopee Senior High"/>
        <s v="Sun Path Elementary"/>
        <s v="Cottage Grove Elementary"/>
        <s v="Cottage Grove Middle School"/>
        <s v="East Ridge High School"/>
        <s v="Red Rock Elementary"/>
        <s v="Southern MN Education Consortium Ed Center"/>
        <s v="East Bethel Community Elementary"/>
        <s v="Peter Hobart Elementary"/>
        <s v="Verndale Area Christian Academy"/>
        <s v="Village Ranch - Annandale"/>
        <s v="Village Ranch - Cokato"/>
        <s v="Plymouth Creek Elementary"/>
        <s v="Wayzata Central Middle"/>
        <s v="Wayzata Senior"/>
        <s v="West Central Regional Juvenile Center"/>
        <s v="916 Bellaire Education Center"/>
        <s v="Lakeaires Elementary"/>
        <s v="North Star Elementary"/>
        <s v="Otter Lake Elementary"/>
      </sharedItems>
    </cacheField>
    <cacheField name="Claim Discriminator" numFmtId="0">
      <sharedItems/>
    </cacheField>
    <cacheField name="Claim Year" numFmtId="0">
      <sharedItems containsSemiMixedTypes="0" containsString="0" containsNumber="1" containsInteger="1" minValue="2026" maxValue="2026" count="1">
        <n v="2026"/>
      </sharedItems>
    </cacheField>
    <cacheField name="Claim Month" numFmtId="0">
      <sharedItems containsSemiMixedTypes="0" containsString="0" containsNumber="1" containsInteger="1" minValue="7" maxValue="7" count="1">
        <n v="7"/>
      </sharedItems>
    </cacheField>
    <cacheField name="Adjust Number" numFmtId="0">
      <sharedItems containsSemiMixedTypes="0" containsString="0" containsNumber="1" containsInteger="1" minValue="0" maxValue="1"/>
    </cacheField>
    <cacheField name="Claim Status" numFmtId="0">
      <sharedItems/>
    </cacheField>
    <cacheField name="Meal Type" numFmtId="0">
      <sharedItems count="3">
        <s v="Breakfast"/>
        <s v="Lunch"/>
        <s v="After School Snack"/>
      </sharedItems>
    </cacheField>
    <cacheField name="Meal Sub Type" numFmtId="0">
      <sharedItems containsBlank="1"/>
    </cacheField>
    <cacheField name="Rate Type" numFmtId="0">
      <sharedItems/>
    </cacheField>
    <cacheField name="Govt" numFmtId="0">
      <sharedItems count="2">
        <s v="Federal"/>
        <s v="State"/>
      </sharedItems>
    </cacheField>
    <cacheField name="Shift" numFmtId="0">
      <sharedItems containsNonDate="0" containsString="0" containsBlank="1"/>
    </cacheField>
    <cacheField name="Major Budget Code" numFmtId="0">
      <sharedItems/>
    </cacheField>
    <cacheField name="Minor Budget Code" numFmtId="0">
      <sharedItems/>
    </cacheField>
    <cacheField name="Line Item Status" numFmtId="0">
      <sharedItems/>
    </cacheField>
    <cacheField name="Rate" numFmtId="0">
      <sharedItems containsSemiMixedTypes="0" containsString="0" containsNumber="1" minValue="0" maxValue="4.4349999999999996"/>
    </cacheField>
    <cacheField name="Meal Count" numFmtId="0">
      <sharedItems containsSemiMixedTypes="0" containsString="0" containsNumber="1" containsInteger="1" minValue="2" maxValue="3607"/>
    </cacheField>
    <cacheField name="Approved Payment" numFmtId="0">
      <sharedItems containsSemiMixedTypes="0" containsString="0" containsNumber="1" minValue="0" maxValue="11098.25"/>
    </cacheField>
    <cacheField name="Run Date" numFmtId="0">
      <sharedItems containsSemiMixedTypes="0" containsDate="1" containsString="0" containsMixedTypes="1" minDate="2026-09-03T15:43:25" maxDate="1900-01-06T10:51:04"/>
    </cacheField>
    <cacheField name="Rate Sub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bass, Hassan" refreshedDate="46269.518453703706" missingItemsLimit="0" createdVersion="4" refreshedVersion="8" recordCount="596" xr:uid="{00000000-000A-0000-FFFF-FFFF0C000000}">
  <cacheSource type="worksheet">
    <worksheetSource name="DataRows"/>
  </cacheSource>
  <cacheFields count="22">
    <cacheField name="Sponsor Id" numFmtId="0">
      <sharedItems containsSemiMixedTypes="0" containsString="0" containsNumber="1" containsInteger="1" minValue="1000003503" maxValue="2000010482"/>
    </cacheField>
    <cacheField name="Sponsor Name" numFmtId="0">
      <sharedItems/>
    </cacheField>
    <cacheField name="Site Id" numFmtId="0">
      <sharedItems containsSemiMixedTypes="0" containsString="0" containsNumber="1" containsInteger="1" minValue="1000001232" maxValue="9000021216"/>
    </cacheField>
    <cacheField name="Site Name" numFmtId="0">
      <sharedItems count="60">
        <s v="AIM Academy of Science &amp; Technology"/>
        <s v="Arrowhead Juvenile Detention Center"/>
        <s v="Browerville Elementary"/>
        <s v="Browerville Secondary"/>
        <s v="Blue Heron Elementary"/>
        <s v="Central Elementary"/>
        <s v="Detroit Lakes High School"/>
        <s v="Roosevelt Elementary"/>
        <s v="Carver Elementary School"/>
        <s v="Chanhassen High School"/>
        <s v="Kennedy Secondary "/>
        <s v="Gerard Academy"/>
        <s v="Heartland Girls Ranch"/>
        <s v="Hennepin County Juvenile Detention Center"/>
        <s v="Hill City Elementary"/>
        <s v="Transition Plus - Hopkins ISD"/>
        <s v="Hoffman Learning Center - North Cottage"/>
        <s v="Metro Deaf School"/>
        <s v="Academy for the Blind"/>
        <s v="Academy for the Deaf"/>
        <s v="MN Correctional Facility - Red Wing"/>
        <s v="Chippewa Middle"/>
        <s v="Island Lake Elementary"/>
        <s v="Mounds View Senior"/>
        <s v="Turtle Lake Elementary"/>
        <s v="Aspen House"/>
        <s v="Mille Lacs Academy"/>
        <s v="Itaskin Education Center"/>
        <s v="Greenvale Park Elementary"/>
        <s v="Northfield Middle School"/>
        <s v="Northwestern MN Juvenile Center"/>
        <s v="Main Campus"/>
        <s v="West Campus"/>
        <s v="Ramsey County Juvenile Detention Center"/>
        <s v="Central Education Center"/>
        <s v="Longfellow Elementary"/>
        <s v="Harambee Elementary"/>
        <s v="Quora Education Center"/>
        <s v="Roseville High School"/>
        <s v="Shakopee Junior High East"/>
        <s v="Shakopee Senior High"/>
        <s v="Sun Path Elementary"/>
        <s v="Cottage Grove Elementary"/>
        <s v="Cottage Grove Middle School"/>
        <s v="East Ridge High School"/>
        <s v="Red Rock Elementary"/>
        <s v="Southern MN Education Consortium Ed Center"/>
        <s v="East Bethel Community Elementary"/>
        <s v="Peter Hobart Elementary"/>
        <s v="Verndale Area Christian Academy"/>
        <s v="Village Ranch - Annandale"/>
        <s v="Village Ranch - Cokato"/>
        <s v="Plymouth Creek Elementary"/>
        <s v="Wayzata Central Middle"/>
        <s v="Wayzata Senior"/>
        <s v="West Central Regional Juvenile Center"/>
        <s v="916 Bellaire Education Center"/>
        <s v="Lakeaires Elementary"/>
        <s v="North Star Elementary"/>
        <s v="Otter Lake Elementary"/>
      </sharedItems>
    </cacheField>
    <cacheField name="Claim Discriminator" numFmtId="0">
      <sharedItems/>
    </cacheField>
    <cacheField name="Claim Year" numFmtId="0">
      <sharedItems containsSemiMixedTypes="0" containsString="0" containsNumber="1" containsInteger="1" minValue="2026" maxValue="2026" count="1">
        <n v="2026"/>
      </sharedItems>
    </cacheField>
    <cacheField name="Claim Month" numFmtId="0">
      <sharedItems containsSemiMixedTypes="0" containsString="0" containsNumber="1" containsInteger="1" minValue="7" maxValue="7" count="1">
        <n v="7"/>
      </sharedItems>
    </cacheField>
    <cacheField name="Adjust Number" numFmtId="0">
      <sharedItems containsSemiMixedTypes="0" containsString="0" containsNumber="1" containsInteger="1" minValue="0" maxValue="1"/>
    </cacheField>
    <cacheField name="Claim Status" numFmtId="0">
      <sharedItems/>
    </cacheField>
    <cacheField name="Meal Type" numFmtId="0">
      <sharedItems count="3">
        <s v="Breakfast"/>
        <s v="Lunch"/>
        <s v="After School Snack"/>
      </sharedItems>
    </cacheField>
    <cacheField name="Meal Sub Type" numFmtId="0">
      <sharedItems containsBlank="1" count="2">
        <m/>
        <s v="Kindergarten"/>
      </sharedItems>
    </cacheField>
    <cacheField name="Rate Type" numFmtId="0">
      <sharedItems count="5">
        <s v="Free"/>
        <s v="HHFKA"/>
        <s v="Total"/>
        <s v="Reduced"/>
        <s v="Regular"/>
      </sharedItems>
    </cacheField>
    <cacheField name="Govt" numFmtId="0">
      <sharedItems count="2">
        <s v="Federal"/>
        <s v="State"/>
      </sharedItems>
    </cacheField>
    <cacheField name="Shift" numFmtId="0">
      <sharedItems containsNonDate="0" containsString="0" containsBlank="1"/>
    </cacheField>
    <cacheField name="Major Budget Code" numFmtId="0">
      <sharedItems count="4">
        <s v="10553"/>
        <s v="10555"/>
        <s v="S6201"/>
        <s v="S6210"/>
      </sharedItems>
    </cacheField>
    <cacheField name="Minor Budget Code" numFmtId="0">
      <sharedItems count="5">
        <s v=" "/>
        <s v="004"/>
        <s v="006"/>
        <s v="002"/>
        <s v="SNA"/>
      </sharedItems>
    </cacheField>
    <cacheField name="Line Item Status" numFmtId="0">
      <sharedItems/>
    </cacheField>
    <cacheField name="Rate" numFmtId="0">
      <sharedItems containsSemiMixedTypes="0" containsString="0" containsNumber="1" minValue="0" maxValue="4.4349999999999996"/>
    </cacheField>
    <cacheField name="Meal Count" numFmtId="0">
      <sharedItems containsSemiMixedTypes="0" containsString="0" containsNumber="1" containsInteger="1" minValue="2" maxValue="3607"/>
    </cacheField>
    <cacheField name="Approved Payment" numFmtId="0">
      <sharedItems containsSemiMixedTypes="0" containsString="0" containsNumber="1" minValue="0" maxValue="11098.25"/>
    </cacheField>
    <cacheField name="Run Date" numFmtId="0">
      <sharedItems containsSemiMixedTypes="0" containsDate="1" containsString="0" containsMixedTypes="1" minDate="2026-09-03T15:43:25" maxDate="1900-01-06T10:51:04"/>
    </cacheField>
    <cacheField name="Rate Sub Type" numFmtId="0">
      <sharedItems count="10">
        <s v="Severe need"/>
        <s v="60 percent or over"/>
        <s v="Qualified"/>
        <s v="MN-FSM"/>
        <s v=" "/>
        <s v="Less than 60 percent"/>
        <s v="MN-FSM Severe Need"/>
        <s v="Non-severe need"/>
        <s v="MN-FSM Non-severe Need"/>
        <s v="MN-FSM Kindergart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">
  <r>
    <n v="2000010403"/>
    <s v="AIM Academy of Science &amp; Technology"/>
    <x v="0"/>
    <x v="0"/>
    <s v="SNP"/>
    <x v="0"/>
    <x v="0"/>
    <n v="0"/>
    <s v="APPR"/>
    <x v="0"/>
    <m/>
    <s v="Free"/>
    <x v="0"/>
    <m/>
    <s v="10553"/>
    <s v=" "/>
    <s v="Resolved"/>
    <n v="3.05"/>
    <n v="228"/>
    <n v="695.4"/>
    <d v="2026-09-03T15:43:25"/>
    <s v="Severe need"/>
  </r>
  <r>
    <n v="2000010403"/>
    <s v="AIM Academy of Science &amp; Technology"/>
    <x v="0"/>
    <x v="0"/>
    <s v="SNP"/>
    <x v="0"/>
    <x v="0"/>
    <n v="0"/>
    <s v="APPR"/>
    <x v="1"/>
    <m/>
    <s v="Free"/>
    <x v="0"/>
    <m/>
    <s v="10555"/>
    <s v="004"/>
    <s v="Resolved"/>
    <n v="4.3099999999999996"/>
    <n v="263"/>
    <n v="1133.53"/>
    <n v="46268.655147939811"/>
    <s v="60 percent or over"/>
  </r>
  <r>
    <n v="2000010403"/>
    <s v="AIM Academy of Science &amp; Technology"/>
    <x v="0"/>
    <x v="0"/>
    <s v="SNP"/>
    <x v="0"/>
    <x v="0"/>
    <n v="0"/>
    <s v="APPR"/>
    <x v="1"/>
    <m/>
    <s v="HHFKA"/>
    <x v="0"/>
    <m/>
    <s v="10555"/>
    <s v="006"/>
    <s v="Resolved"/>
    <n v="0.09"/>
    <n v="263"/>
    <n v="23.67"/>
    <n v="46268.655147939811"/>
    <s v="Qualified"/>
  </r>
  <r>
    <n v="2000010403"/>
    <s v="AIM Academy of Science &amp; Technology"/>
    <x v="0"/>
    <x v="0"/>
    <s v="SNP"/>
    <x v="0"/>
    <x v="0"/>
    <n v="0"/>
    <s v="APPR"/>
    <x v="1"/>
    <m/>
    <s v="Total"/>
    <x v="0"/>
    <m/>
    <s v="10555"/>
    <s v="002"/>
    <s v="Resolved"/>
    <n v="0.47"/>
    <n v="263"/>
    <n v="123.61"/>
    <n v="46268.655147939811"/>
    <s v="60 percent or over"/>
  </r>
  <r>
    <n v="2000010403"/>
    <s v="AIM Academy of Science &amp; Technology"/>
    <x v="0"/>
    <x v="0"/>
    <s v="SNP"/>
    <x v="0"/>
    <x v="0"/>
    <n v="0"/>
    <s v="APPR"/>
    <x v="1"/>
    <m/>
    <s v="Free"/>
    <x v="1"/>
    <m/>
    <s v="S6201"/>
    <s v=" "/>
    <s v="Resolved"/>
    <n v="0.125"/>
    <n v="263"/>
    <n v="32.869999999999997"/>
    <n v="46268.655147939811"/>
    <s v="MN-FSM"/>
  </r>
  <r>
    <n v="1000004388"/>
    <s v="Arrowhead Juvenile Detention Center"/>
    <x v="1"/>
    <x v="1"/>
    <s v="SNP"/>
    <x v="0"/>
    <x v="0"/>
    <n v="0"/>
    <s v="APPR"/>
    <x v="0"/>
    <m/>
    <s v="Free"/>
    <x v="0"/>
    <m/>
    <s v="10553"/>
    <s v=" "/>
    <s v="Resolved"/>
    <n v="3.05"/>
    <n v="691"/>
    <n v="2107.5500000000002"/>
    <n v="46268.655147939811"/>
    <s v="Severe need"/>
  </r>
  <r>
    <n v="1000004388"/>
    <s v="Arrowhead Juvenile Detention Center"/>
    <x v="1"/>
    <x v="1"/>
    <s v="SNP"/>
    <x v="0"/>
    <x v="0"/>
    <n v="0"/>
    <s v="APPR"/>
    <x v="1"/>
    <m/>
    <s v="Free"/>
    <x v="0"/>
    <m/>
    <s v="10555"/>
    <s v="004"/>
    <s v="Resolved"/>
    <n v="4.3099999999999996"/>
    <n v="687"/>
    <n v="2960.97"/>
    <n v="46268.655147939811"/>
    <s v="60 percent or over"/>
  </r>
  <r>
    <n v="1000004388"/>
    <s v="Arrowhead Juvenile Detention Center"/>
    <x v="1"/>
    <x v="1"/>
    <s v="SNP"/>
    <x v="0"/>
    <x v="0"/>
    <n v="0"/>
    <s v="APPR"/>
    <x v="1"/>
    <m/>
    <s v="HHFKA"/>
    <x v="0"/>
    <m/>
    <s v="10555"/>
    <s v="006"/>
    <s v="Resolved"/>
    <n v="0.09"/>
    <n v="687"/>
    <n v="61.83"/>
    <n v="46268.655147939811"/>
    <s v="Qualified"/>
  </r>
  <r>
    <n v="1000004388"/>
    <s v="Arrowhead Juvenile Detention Center"/>
    <x v="1"/>
    <x v="1"/>
    <s v="SNP"/>
    <x v="0"/>
    <x v="0"/>
    <n v="0"/>
    <s v="APPR"/>
    <x v="1"/>
    <m/>
    <s v="Total"/>
    <x v="0"/>
    <m/>
    <s v="10555"/>
    <s v="002"/>
    <s v="Resolved"/>
    <n v="0.47"/>
    <n v="687"/>
    <n v="322.89"/>
    <n v="46268.655147939811"/>
    <s v="60 percent or over"/>
  </r>
  <r>
    <n v="1000004388"/>
    <s v="Arrowhead Juvenile Detention Center"/>
    <x v="1"/>
    <x v="1"/>
    <s v="SNP"/>
    <x v="0"/>
    <x v="0"/>
    <n v="0"/>
    <s v="APPR"/>
    <x v="1"/>
    <m/>
    <s v="Free"/>
    <x v="1"/>
    <m/>
    <s v="S6201"/>
    <s v=" "/>
    <s v="Resolved"/>
    <n v="0.125"/>
    <n v="687"/>
    <n v="85.87"/>
    <n v="46268.655147939811"/>
    <s v="MN-FSM"/>
  </r>
  <r>
    <n v="1000004034"/>
    <s v="Browerville ISD #787"/>
    <x v="2"/>
    <x v="2"/>
    <s v="SNP"/>
    <x v="0"/>
    <x v="0"/>
    <n v="0"/>
    <s v="APPR"/>
    <x v="2"/>
    <m/>
    <s v="Free"/>
    <x v="0"/>
    <m/>
    <s v="10555"/>
    <s v="SNA"/>
    <s v="Resolved"/>
    <n v="1.3"/>
    <n v="401"/>
    <n v="521.29999999999995"/>
    <n v="46268.655147939811"/>
    <s v=" "/>
  </r>
  <r>
    <n v="1000004034"/>
    <s v="Browerville ISD #787"/>
    <x v="2"/>
    <x v="2"/>
    <s v="SNP"/>
    <x v="0"/>
    <x v="0"/>
    <n v="0"/>
    <s v="APPR"/>
    <x v="0"/>
    <m/>
    <s v="Free"/>
    <x v="0"/>
    <m/>
    <s v="10553"/>
    <s v=" "/>
    <s v="Resolved"/>
    <n v="3.05"/>
    <n v="121"/>
    <n v="369.05"/>
    <n v="46268.655147939811"/>
    <s v="Severe need"/>
  </r>
  <r>
    <n v="1000004034"/>
    <s v="Browerville ISD #787"/>
    <x v="2"/>
    <x v="2"/>
    <s v="SNP"/>
    <x v="0"/>
    <x v="0"/>
    <n v="0"/>
    <s v="APPR"/>
    <x v="0"/>
    <m/>
    <s v="Reduced"/>
    <x v="0"/>
    <m/>
    <s v="10553"/>
    <s v=" "/>
    <s v="Resolved"/>
    <n v="2.75"/>
    <n v="36"/>
    <n v="99"/>
    <n v="46268.655147939811"/>
    <s v="Severe need"/>
  </r>
  <r>
    <n v="1000004034"/>
    <s v="Browerville ISD #787"/>
    <x v="2"/>
    <x v="2"/>
    <s v="SNP"/>
    <x v="0"/>
    <x v="0"/>
    <n v="0"/>
    <s v="APPR"/>
    <x v="0"/>
    <m/>
    <s v="Regular"/>
    <x v="0"/>
    <m/>
    <s v="10553"/>
    <s v=" "/>
    <s v="Resolved"/>
    <n v="0.42"/>
    <n v="216"/>
    <n v="90.72"/>
    <n v="46268.655147939811"/>
    <s v="Severe need"/>
  </r>
  <r>
    <n v="1000004034"/>
    <s v="Browerville ISD #787"/>
    <x v="2"/>
    <x v="2"/>
    <s v="SNP"/>
    <x v="0"/>
    <x v="0"/>
    <n v="0"/>
    <s v="APPR"/>
    <x v="1"/>
    <m/>
    <s v="Free"/>
    <x v="0"/>
    <m/>
    <s v="10555"/>
    <s v="004"/>
    <s v="Resolved"/>
    <n v="4.3099999999999996"/>
    <n v="136"/>
    <n v="586.16"/>
    <n v="46268.655147939811"/>
    <s v="Less than 60 percent"/>
  </r>
  <r>
    <n v="1000004034"/>
    <s v="Browerville ISD #787"/>
    <x v="2"/>
    <x v="2"/>
    <s v="SNP"/>
    <x v="0"/>
    <x v="0"/>
    <n v="0"/>
    <s v="APPR"/>
    <x v="1"/>
    <m/>
    <s v="HHFKA"/>
    <x v="0"/>
    <m/>
    <s v="10555"/>
    <s v="006"/>
    <s v="Resolved"/>
    <n v="0.09"/>
    <n v="401"/>
    <n v="36.090000000000003"/>
    <n v="46268.655147939811"/>
    <s v="Qualified"/>
  </r>
  <r>
    <n v="1000004034"/>
    <s v="Browerville ISD #787"/>
    <x v="2"/>
    <x v="2"/>
    <s v="SNP"/>
    <x v="0"/>
    <x v="0"/>
    <n v="0"/>
    <s v="APPR"/>
    <x v="1"/>
    <m/>
    <s v="Reduced"/>
    <x v="0"/>
    <m/>
    <s v="10555"/>
    <s v="004"/>
    <s v="Resolved"/>
    <n v="3.91"/>
    <n v="36"/>
    <n v="140.76"/>
    <n v="46268.655147939811"/>
    <s v="Less than 60 percent"/>
  </r>
  <r>
    <n v="1000004034"/>
    <s v="Browerville ISD #787"/>
    <x v="2"/>
    <x v="2"/>
    <s v="SNP"/>
    <x v="0"/>
    <x v="0"/>
    <n v="0"/>
    <s v="APPR"/>
    <x v="1"/>
    <m/>
    <s v="Total"/>
    <x v="0"/>
    <m/>
    <s v="10555"/>
    <s v="002"/>
    <s v="Resolved"/>
    <n v="0.45"/>
    <n v="401"/>
    <n v="180.45"/>
    <n v="46268.655147939811"/>
    <s v="Less than 60 percent"/>
  </r>
  <r>
    <n v="1000004034"/>
    <s v="Browerville ISD #787"/>
    <x v="2"/>
    <x v="2"/>
    <s v="SNP"/>
    <x v="0"/>
    <x v="0"/>
    <n v="0"/>
    <s v="APPR"/>
    <x v="0"/>
    <m/>
    <s v="Reduced"/>
    <x v="1"/>
    <m/>
    <s v="S6210"/>
    <s v=" "/>
    <s v="Resolved"/>
    <n v="0.3"/>
    <n v="36"/>
    <n v="10.8"/>
    <n v="46268.655147939811"/>
    <s v="MN-FSM"/>
  </r>
  <r>
    <n v="1000004034"/>
    <s v="Browerville ISD #787"/>
    <x v="2"/>
    <x v="2"/>
    <s v="SNP"/>
    <x v="0"/>
    <x v="0"/>
    <n v="0"/>
    <s v="APPR"/>
    <x v="0"/>
    <m/>
    <s v="Regular"/>
    <x v="1"/>
    <m/>
    <s v="S6210"/>
    <s v=" "/>
    <s v="Resolved"/>
    <n v="2.63"/>
    <n v="216"/>
    <n v="568.08000000000004"/>
    <n v="46268.655147939811"/>
    <s v="MN-FSM Severe Need"/>
  </r>
  <r>
    <n v="1000004034"/>
    <s v="Browerville ISD #787"/>
    <x v="2"/>
    <x v="2"/>
    <s v="SNP"/>
    <x v="0"/>
    <x v="0"/>
    <n v="0"/>
    <s v="APPR"/>
    <x v="1"/>
    <m/>
    <s v="Free"/>
    <x v="1"/>
    <m/>
    <s v="S6201"/>
    <s v=" "/>
    <s v="Resolved"/>
    <n v="0.125"/>
    <n v="136"/>
    <n v="17"/>
    <n v="46268.655147939811"/>
    <s v="MN-FSM"/>
  </r>
  <r>
    <n v="1000004034"/>
    <s v="Browerville ISD #787"/>
    <x v="2"/>
    <x v="2"/>
    <s v="SNP"/>
    <x v="0"/>
    <x v="0"/>
    <n v="0"/>
    <s v="APPR"/>
    <x v="1"/>
    <m/>
    <s v="Reduced"/>
    <x v="1"/>
    <m/>
    <s v="S6201"/>
    <s v=" "/>
    <s v="Resolved"/>
    <n v="0.52500000000000002"/>
    <n v="36"/>
    <n v="18.899999999999999"/>
    <n v="46268.655147939811"/>
    <s v="MN-FSM"/>
  </r>
  <r>
    <n v="1000004034"/>
    <s v="Browerville ISD #787"/>
    <x v="2"/>
    <x v="2"/>
    <s v="SNP"/>
    <x v="0"/>
    <x v="0"/>
    <n v="0"/>
    <s v="APPR"/>
    <x v="1"/>
    <m/>
    <s v="Regular"/>
    <x v="1"/>
    <m/>
    <s v="S6201"/>
    <s v=" "/>
    <s v="Resolved"/>
    <n v="4.4349999999999996"/>
    <n v="229"/>
    <n v="1015.61"/>
    <n v="46268.655147939811"/>
    <s v="MN-FSM"/>
  </r>
  <r>
    <n v="1000004034"/>
    <s v="Browerville ISD #787"/>
    <x v="3"/>
    <x v="3"/>
    <s v="SNP"/>
    <x v="0"/>
    <x v="0"/>
    <n v="0"/>
    <s v="APPR"/>
    <x v="2"/>
    <m/>
    <s v="Free"/>
    <x v="0"/>
    <m/>
    <s v="10555"/>
    <s v="SNA"/>
    <s v="Resolved"/>
    <n v="1.3"/>
    <n v="46"/>
    <n v="59.8"/>
    <n v="46268.655147939811"/>
    <s v=" "/>
  </r>
  <r>
    <n v="1000004034"/>
    <s v="Browerville ISD #787"/>
    <x v="3"/>
    <x v="3"/>
    <s v="SNP"/>
    <x v="0"/>
    <x v="0"/>
    <n v="0"/>
    <s v="APPR"/>
    <x v="0"/>
    <m/>
    <s v="Free"/>
    <x v="0"/>
    <m/>
    <s v="10553"/>
    <s v=" "/>
    <s v="Resolved"/>
    <n v="3.05"/>
    <n v="20"/>
    <n v="61"/>
    <n v="46268.655147939811"/>
    <s v="Severe need"/>
  </r>
  <r>
    <n v="1000004034"/>
    <s v="Browerville ISD #787"/>
    <x v="3"/>
    <x v="3"/>
    <s v="SNP"/>
    <x v="0"/>
    <x v="0"/>
    <n v="0"/>
    <s v="APPR"/>
    <x v="0"/>
    <m/>
    <s v="Reduced"/>
    <x v="0"/>
    <m/>
    <s v="10553"/>
    <s v=" "/>
    <s v="Resolved"/>
    <n v="2.75"/>
    <n v="4"/>
    <n v="11"/>
    <n v="46268.655147939811"/>
    <s v="Severe need"/>
  </r>
  <r>
    <n v="1000004034"/>
    <s v="Browerville ISD #787"/>
    <x v="3"/>
    <x v="3"/>
    <s v="SNP"/>
    <x v="0"/>
    <x v="0"/>
    <n v="0"/>
    <s v="APPR"/>
    <x v="0"/>
    <m/>
    <s v="Regular"/>
    <x v="0"/>
    <m/>
    <s v="10553"/>
    <s v=" "/>
    <s v="Resolved"/>
    <n v="0.42"/>
    <n v="22"/>
    <n v="9.24"/>
    <n v="46268.655147939811"/>
    <s v="Severe need"/>
  </r>
  <r>
    <n v="1000004034"/>
    <s v="Browerville ISD #787"/>
    <x v="3"/>
    <x v="3"/>
    <s v="SNP"/>
    <x v="0"/>
    <x v="0"/>
    <n v="0"/>
    <s v="APPR"/>
    <x v="1"/>
    <m/>
    <s v="Free"/>
    <x v="0"/>
    <m/>
    <s v="10555"/>
    <s v="004"/>
    <s v="Resolved"/>
    <n v="4.3099999999999996"/>
    <n v="20"/>
    <n v="86.2"/>
    <n v="46268.655147939811"/>
    <s v="Less than 60 percent"/>
  </r>
  <r>
    <n v="1000004034"/>
    <s v="Browerville ISD #787"/>
    <x v="3"/>
    <x v="3"/>
    <s v="SNP"/>
    <x v="0"/>
    <x v="0"/>
    <n v="0"/>
    <s v="APPR"/>
    <x v="1"/>
    <m/>
    <s v="HHFKA"/>
    <x v="0"/>
    <m/>
    <s v="10555"/>
    <s v="006"/>
    <s v="Resolved"/>
    <n v="0.09"/>
    <n v="46"/>
    <n v="4.1399999999999997"/>
    <n v="46268.655147939811"/>
    <s v="Qualified"/>
  </r>
  <r>
    <n v="1000004034"/>
    <s v="Browerville ISD #787"/>
    <x v="3"/>
    <x v="3"/>
    <s v="SNP"/>
    <x v="0"/>
    <x v="0"/>
    <n v="0"/>
    <s v="APPR"/>
    <x v="1"/>
    <m/>
    <s v="Reduced"/>
    <x v="0"/>
    <m/>
    <s v="10555"/>
    <s v="004"/>
    <s v="Resolved"/>
    <n v="3.91"/>
    <n v="4"/>
    <n v="15.64"/>
    <n v="46268.655147939811"/>
    <s v="Less than 60 percent"/>
  </r>
  <r>
    <n v="1000004034"/>
    <s v="Browerville ISD #787"/>
    <x v="3"/>
    <x v="3"/>
    <s v="SNP"/>
    <x v="0"/>
    <x v="0"/>
    <n v="0"/>
    <s v="APPR"/>
    <x v="1"/>
    <m/>
    <s v="Total"/>
    <x v="0"/>
    <m/>
    <s v="10555"/>
    <s v="002"/>
    <s v="Resolved"/>
    <n v="0.45"/>
    <n v="46"/>
    <n v="20.7"/>
    <n v="46268.655147939811"/>
    <s v="Less than 60 percent"/>
  </r>
  <r>
    <n v="1000004034"/>
    <s v="Browerville ISD #787"/>
    <x v="3"/>
    <x v="3"/>
    <s v="SNP"/>
    <x v="0"/>
    <x v="0"/>
    <n v="0"/>
    <s v="APPR"/>
    <x v="0"/>
    <m/>
    <s v="Reduced"/>
    <x v="1"/>
    <m/>
    <s v="S6210"/>
    <s v=" "/>
    <s v="Resolved"/>
    <n v="0.3"/>
    <n v="4"/>
    <n v="1.2"/>
    <n v="46268.655147939811"/>
    <s v="MN-FSM"/>
  </r>
  <r>
    <n v="1000004034"/>
    <s v="Browerville ISD #787"/>
    <x v="3"/>
    <x v="3"/>
    <s v="SNP"/>
    <x v="0"/>
    <x v="0"/>
    <n v="0"/>
    <s v="APPR"/>
    <x v="0"/>
    <m/>
    <s v="Regular"/>
    <x v="1"/>
    <m/>
    <s v="S6210"/>
    <s v=" "/>
    <s v="Resolved"/>
    <n v="2.63"/>
    <n v="22"/>
    <n v="57.86"/>
    <n v="46268.655147939811"/>
    <s v="MN-FSM Severe Need"/>
  </r>
  <r>
    <n v="1000004034"/>
    <s v="Browerville ISD #787"/>
    <x v="3"/>
    <x v="3"/>
    <s v="SNP"/>
    <x v="0"/>
    <x v="0"/>
    <n v="0"/>
    <s v="APPR"/>
    <x v="1"/>
    <m/>
    <s v="Free"/>
    <x v="1"/>
    <m/>
    <s v="S6201"/>
    <s v=" "/>
    <s v="Resolved"/>
    <n v="0.125"/>
    <n v="20"/>
    <n v="2.5"/>
    <n v="46268.655147939811"/>
    <s v="MN-FSM"/>
  </r>
  <r>
    <n v="1000004034"/>
    <s v="Browerville ISD #787"/>
    <x v="3"/>
    <x v="3"/>
    <s v="SNP"/>
    <x v="0"/>
    <x v="0"/>
    <n v="0"/>
    <s v="APPR"/>
    <x v="1"/>
    <m/>
    <s v="Reduced"/>
    <x v="1"/>
    <m/>
    <s v="S6201"/>
    <s v=" "/>
    <s v="Resolved"/>
    <n v="0.52500000000000002"/>
    <n v="4"/>
    <n v="2.1"/>
    <n v="46268.655147939811"/>
    <s v="MN-FSM"/>
  </r>
  <r>
    <n v="1000004034"/>
    <s v="Browerville ISD #787"/>
    <x v="3"/>
    <x v="3"/>
    <s v="SNP"/>
    <x v="0"/>
    <x v="0"/>
    <n v="0"/>
    <s v="APPR"/>
    <x v="1"/>
    <m/>
    <s v="Regular"/>
    <x v="1"/>
    <m/>
    <s v="S6201"/>
    <s v=" "/>
    <s v="Resolved"/>
    <n v="4.4349999999999996"/>
    <n v="22"/>
    <n v="97.57"/>
    <n v="46268.655147939811"/>
    <s v="MN-FSM"/>
  </r>
  <r>
    <n v="1000003808"/>
    <s v="Centennial ISD #12"/>
    <x v="4"/>
    <x v="4"/>
    <s v="SNP"/>
    <x v="0"/>
    <x v="0"/>
    <n v="0"/>
    <s v="APPR"/>
    <x v="0"/>
    <m/>
    <s v="Free"/>
    <x v="0"/>
    <m/>
    <s v="10553"/>
    <s v=" "/>
    <s v="Resolved"/>
    <n v="2.54"/>
    <n v="392"/>
    <n v="995.68"/>
    <n v="46268.655147939811"/>
    <s v="Non-severe need"/>
  </r>
  <r>
    <n v="1000003808"/>
    <s v="Centennial ISD #12"/>
    <x v="4"/>
    <x v="4"/>
    <s v="SNP"/>
    <x v="0"/>
    <x v="0"/>
    <n v="0"/>
    <s v="APPR"/>
    <x v="0"/>
    <m/>
    <s v="Reduced"/>
    <x v="0"/>
    <m/>
    <s v="10553"/>
    <s v=" "/>
    <s v="Resolved"/>
    <n v="2.2400000000000002"/>
    <n v="161"/>
    <n v="360.64"/>
    <n v="46268.655147939811"/>
    <s v="Non-severe need"/>
  </r>
  <r>
    <n v="1000003808"/>
    <s v="Centennial ISD #12"/>
    <x v="4"/>
    <x v="4"/>
    <s v="SNP"/>
    <x v="0"/>
    <x v="0"/>
    <n v="0"/>
    <s v="APPR"/>
    <x v="0"/>
    <m/>
    <s v="Regular"/>
    <x v="0"/>
    <m/>
    <s v="10553"/>
    <s v=" "/>
    <s v="Resolved"/>
    <n v="0.42"/>
    <n v="1075"/>
    <n v="451.5"/>
    <n v="46268.655147939811"/>
    <s v="Non-severe need"/>
  </r>
  <r>
    <n v="1000003808"/>
    <s v="Centennial ISD #12"/>
    <x v="4"/>
    <x v="4"/>
    <s v="SNP"/>
    <x v="0"/>
    <x v="0"/>
    <n v="0"/>
    <s v="APPR"/>
    <x v="1"/>
    <m/>
    <s v="Free"/>
    <x v="0"/>
    <m/>
    <s v="10555"/>
    <s v="004"/>
    <s v="Resolved"/>
    <n v="4.3099999999999996"/>
    <n v="460"/>
    <n v="1982.6"/>
    <n v="46268.655147939811"/>
    <s v="Less than 60 percent"/>
  </r>
  <r>
    <n v="1000003808"/>
    <s v="Centennial ISD #12"/>
    <x v="4"/>
    <x v="4"/>
    <s v="SNP"/>
    <x v="0"/>
    <x v="0"/>
    <n v="0"/>
    <s v="APPR"/>
    <x v="1"/>
    <m/>
    <s v="HHFKA"/>
    <x v="0"/>
    <m/>
    <s v="10555"/>
    <s v="006"/>
    <s v="Resolved"/>
    <n v="0.09"/>
    <n v="1821"/>
    <n v="163.89"/>
    <n v="46268.655147939811"/>
    <s v="Qualified"/>
  </r>
  <r>
    <n v="1000003808"/>
    <s v="Centennial ISD #12"/>
    <x v="4"/>
    <x v="4"/>
    <s v="SNP"/>
    <x v="0"/>
    <x v="0"/>
    <n v="0"/>
    <s v="APPR"/>
    <x v="1"/>
    <m/>
    <s v="Reduced"/>
    <x v="0"/>
    <m/>
    <s v="10555"/>
    <s v="004"/>
    <s v="Resolved"/>
    <n v="3.91"/>
    <n v="175"/>
    <n v="684.25"/>
    <n v="46268.655147939811"/>
    <s v="Less than 60 percent"/>
  </r>
  <r>
    <n v="1000003808"/>
    <s v="Centennial ISD #12"/>
    <x v="4"/>
    <x v="4"/>
    <s v="SNP"/>
    <x v="0"/>
    <x v="0"/>
    <n v="0"/>
    <s v="APPR"/>
    <x v="1"/>
    <m/>
    <s v="Total"/>
    <x v="0"/>
    <m/>
    <s v="10555"/>
    <s v="002"/>
    <s v="Resolved"/>
    <n v="0.45"/>
    <n v="1821"/>
    <n v="819.45"/>
    <n v="46268.655147939811"/>
    <s v="Less than 60 percent"/>
  </r>
  <r>
    <n v="1000003808"/>
    <s v="Centennial ISD #12"/>
    <x v="4"/>
    <x v="4"/>
    <s v="SNP"/>
    <x v="0"/>
    <x v="0"/>
    <n v="0"/>
    <s v="APPR"/>
    <x v="0"/>
    <m/>
    <s v="Reduced"/>
    <x v="1"/>
    <m/>
    <s v="S6210"/>
    <s v=" "/>
    <s v="Resolved"/>
    <n v="0.3"/>
    <n v="161"/>
    <n v="48.3"/>
    <n v="46268.655147939811"/>
    <s v="MN-FSM"/>
  </r>
  <r>
    <n v="1000003808"/>
    <s v="Centennial ISD #12"/>
    <x v="4"/>
    <x v="4"/>
    <s v="SNP"/>
    <x v="0"/>
    <x v="0"/>
    <n v="0"/>
    <s v="APPR"/>
    <x v="0"/>
    <m/>
    <s v="Regular"/>
    <x v="1"/>
    <m/>
    <s v="S6210"/>
    <s v=" "/>
    <s v="Resolved"/>
    <n v="2.12"/>
    <n v="1075"/>
    <n v="2279"/>
    <n v="46268.655147939811"/>
    <s v="MN-FSM Non-severe Need"/>
  </r>
  <r>
    <n v="1000003808"/>
    <s v="Centennial ISD #12"/>
    <x v="4"/>
    <x v="4"/>
    <s v="SNP"/>
    <x v="0"/>
    <x v="0"/>
    <n v="0"/>
    <s v="APPR"/>
    <x v="1"/>
    <m/>
    <s v="Free"/>
    <x v="1"/>
    <m/>
    <s v="S6201"/>
    <s v=" "/>
    <s v="Resolved"/>
    <n v="0.125"/>
    <n v="460"/>
    <n v="57.5"/>
    <n v="46268.655147939811"/>
    <s v="MN-FSM"/>
  </r>
  <r>
    <n v="1000003808"/>
    <s v="Centennial ISD #12"/>
    <x v="4"/>
    <x v="4"/>
    <s v="SNP"/>
    <x v="0"/>
    <x v="0"/>
    <n v="0"/>
    <s v="APPR"/>
    <x v="1"/>
    <m/>
    <s v="Reduced"/>
    <x v="1"/>
    <m/>
    <s v="S6201"/>
    <s v=" "/>
    <s v="Resolved"/>
    <n v="0.52500000000000002"/>
    <n v="175"/>
    <n v="91.87"/>
    <n v="46268.655147939811"/>
    <s v="MN-FSM"/>
  </r>
  <r>
    <n v="1000003808"/>
    <s v="Centennial ISD #12"/>
    <x v="4"/>
    <x v="4"/>
    <s v="SNP"/>
    <x v="0"/>
    <x v="0"/>
    <n v="0"/>
    <s v="APPR"/>
    <x v="1"/>
    <m/>
    <s v="Regular"/>
    <x v="1"/>
    <m/>
    <s v="S6201"/>
    <s v=" "/>
    <s v="Resolved"/>
    <n v="4.4349999999999996"/>
    <n v="1186"/>
    <n v="5259.91"/>
    <n v="46268.655147939811"/>
    <s v="MN-FSM"/>
  </r>
  <r>
    <n v="1000003835"/>
    <s v="Central School District ISD #108"/>
    <x v="5"/>
    <x v="5"/>
    <s v="SNP"/>
    <x v="0"/>
    <x v="0"/>
    <n v="0"/>
    <s v="APPR"/>
    <x v="0"/>
    <m/>
    <s v="Free"/>
    <x v="0"/>
    <m/>
    <s v="10553"/>
    <s v=" "/>
    <s v="Resolved"/>
    <n v="2.54"/>
    <n v="75"/>
    <n v="190.5"/>
    <n v="46268.655147939811"/>
    <s v="Non-severe need"/>
  </r>
  <r>
    <n v="1000003835"/>
    <s v="Central School District ISD #108"/>
    <x v="5"/>
    <x v="5"/>
    <s v="SNP"/>
    <x v="0"/>
    <x v="0"/>
    <n v="0"/>
    <s v="APPR"/>
    <x v="0"/>
    <m/>
    <s v="Reduced"/>
    <x v="0"/>
    <m/>
    <s v="10553"/>
    <s v=" "/>
    <s v="Resolved"/>
    <n v="2.2400000000000002"/>
    <n v="32"/>
    <n v="71.680000000000007"/>
    <n v="46268.655147939811"/>
    <s v="Non-severe need"/>
  </r>
  <r>
    <n v="1000003835"/>
    <s v="Central School District ISD #108"/>
    <x v="5"/>
    <x v="5"/>
    <s v="SNP"/>
    <x v="0"/>
    <x v="0"/>
    <n v="0"/>
    <s v="APPR"/>
    <x v="0"/>
    <m/>
    <s v="Regular"/>
    <x v="0"/>
    <m/>
    <s v="10553"/>
    <s v=" "/>
    <s v="Resolved"/>
    <n v="0.42"/>
    <n v="540"/>
    <n v="226.8"/>
    <n v="46268.655147939811"/>
    <s v="Non-severe need"/>
  </r>
  <r>
    <n v="1000003835"/>
    <s v="Central School District ISD #108"/>
    <x v="5"/>
    <x v="5"/>
    <s v="SNP"/>
    <x v="0"/>
    <x v="0"/>
    <n v="0"/>
    <s v="APPR"/>
    <x v="1"/>
    <m/>
    <s v="Free"/>
    <x v="0"/>
    <m/>
    <s v="10555"/>
    <s v="004"/>
    <s v="Resolved"/>
    <n v="4.3099999999999996"/>
    <n v="100"/>
    <n v="431"/>
    <n v="46268.655147939811"/>
    <s v="Less than 60 percent"/>
  </r>
  <r>
    <n v="1000003835"/>
    <s v="Central School District ISD #108"/>
    <x v="5"/>
    <x v="5"/>
    <s v="SNP"/>
    <x v="0"/>
    <x v="0"/>
    <n v="0"/>
    <s v="APPR"/>
    <x v="1"/>
    <m/>
    <s v="HHFKA"/>
    <x v="0"/>
    <m/>
    <s v="10555"/>
    <s v="006"/>
    <s v="Resolved"/>
    <n v="0.09"/>
    <n v="751"/>
    <n v="67.59"/>
    <n v="46268.655147939811"/>
    <s v="Qualified"/>
  </r>
  <r>
    <n v="1000003835"/>
    <s v="Central School District ISD #108"/>
    <x v="5"/>
    <x v="5"/>
    <s v="SNP"/>
    <x v="0"/>
    <x v="0"/>
    <n v="0"/>
    <s v="APPR"/>
    <x v="1"/>
    <m/>
    <s v="Reduced"/>
    <x v="0"/>
    <m/>
    <s v="10555"/>
    <s v="004"/>
    <s v="Resolved"/>
    <n v="3.91"/>
    <n v="33"/>
    <n v="129.03"/>
    <n v="46268.655147939811"/>
    <s v="Less than 60 percent"/>
  </r>
  <r>
    <n v="1000003835"/>
    <s v="Central School District ISD #108"/>
    <x v="5"/>
    <x v="5"/>
    <s v="SNP"/>
    <x v="0"/>
    <x v="0"/>
    <n v="0"/>
    <s v="APPR"/>
    <x v="1"/>
    <m/>
    <s v="Total"/>
    <x v="0"/>
    <m/>
    <s v="10555"/>
    <s v="002"/>
    <s v="Resolved"/>
    <n v="0.45"/>
    <n v="751"/>
    <n v="337.95"/>
    <n v="46268.655147939811"/>
    <s v="Less than 60 percent"/>
  </r>
  <r>
    <n v="1000003835"/>
    <s v="Central School District ISD #108"/>
    <x v="5"/>
    <x v="5"/>
    <s v="SNP"/>
    <x v="0"/>
    <x v="0"/>
    <n v="0"/>
    <s v="APPR"/>
    <x v="0"/>
    <m/>
    <s v="Reduced"/>
    <x v="1"/>
    <m/>
    <s v="S6210"/>
    <s v=" "/>
    <s v="Resolved"/>
    <n v="0.3"/>
    <n v="32"/>
    <n v="9.6"/>
    <n v="46268.655147939811"/>
    <s v="MN-FSM"/>
  </r>
  <r>
    <n v="1000003835"/>
    <s v="Central School District ISD #108"/>
    <x v="5"/>
    <x v="5"/>
    <s v="SNP"/>
    <x v="0"/>
    <x v="0"/>
    <n v="0"/>
    <s v="APPR"/>
    <x v="0"/>
    <m/>
    <s v="Regular"/>
    <x v="1"/>
    <m/>
    <s v="S6210"/>
    <s v=" "/>
    <s v="Resolved"/>
    <n v="2.12"/>
    <n v="540"/>
    <n v="1144.8"/>
    <n v="46268.655147939811"/>
    <s v="MN-FSM Non-severe Need"/>
  </r>
  <r>
    <n v="1000003835"/>
    <s v="Central School District ISD #108"/>
    <x v="5"/>
    <x v="5"/>
    <s v="SNP"/>
    <x v="0"/>
    <x v="0"/>
    <n v="0"/>
    <s v="APPR"/>
    <x v="1"/>
    <m/>
    <s v="Free"/>
    <x v="1"/>
    <m/>
    <s v="S6201"/>
    <s v=" "/>
    <s v="Resolved"/>
    <n v="0.125"/>
    <n v="100"/>
    <n v="12.5"/>
    <n v="46268.655147939811"/>
    <s v="MN-FSM"/>
  </r>
  <r>
    <n v="1000003835"/>
    <s v="Central School District ISD #108"/>
    <x v="5"/>
    <x v="5"/>
    <s v="SNP"/>
    <x v="0"/>
    <x v="0"/>
    <n v="0"/>
    <s v="APPR"/>
    <x v="1"/>
    <m/>
    <s v="Reduced"/>
    <x v="1"/>
    <m/>
    <s v="S6201"/>
    <s v=" "/>
    <s v="Resolved"/>
    <n v="0.52500000000000002"/>
    <n v="33"/>
    <n v="17.32"/>
    <n v="46268.655147939811"/>
    <s v="MN-FSM"/>
  </r>
  <r>
    <n v="1000003835"/>
    <s v="Central School District ISD #108"/>
    <x v="5"/>
    <x v="5"/>
    <s v="SNP"/>
    <x v="0"/>
    <x v="0"/>
    <n v="0"/>
    <s v="APPR"/>
    <x v="1"/>
    <m/>
    <s v="Regular"/>
    <x v="1"/>
    <m/>
    <s v="S6201"/>
    <s v=" "/>
    <s v="Resolved"/>
    <n v="4.4349999999999996"/>
    <n v="618"/>
    <n v="2740.83"/>
    <n v="46268.655147939811"/>
    <s v="MN-FSM"/>
  </r>
  <r>
    <n v="1000003503"/>
    <s v="Detroit Lakes ISD #22"/>
    <x v="6"/>
    <x v="6"/>
    <s v="SNP"/>
    <x v="0"/>
    <x v="0"/>
    <n v="0"/>
    <s v="APPR"/>
    <x v="0"/>
    <m/>
    <s v="Free"/>
    <x v="0"/>
    <m/>
    <s v="10553"/>
    <s v=" "/>
    <s v="Resolved"/>
    <n v="2.54"/>
    <n v="16"/>
    <n v="40.64"/>
    <n v="46268.655147939811"/>
    <s v="Non-severe need"/>
  </r>
  <r>
    <n v="1000003503"/>
    <s v="Detroit Lakes ISD #22"/>
    <x v="6"/>
    <x v="6"/>
    <s v="SNP"/>
    <x v="0"/>
    <x v="0"/>
    <n v="0"/>
    <s v="APPR"/>
    <x v="0"/>
    <m/>
    <s v="Reduced"/>
    <x v="0"/>
    <m/>
    <s v="10553"/>
    <s v=" "/>
    <s v="Resolved"/>
    <n v="2.2400000000000002"/>
    <n v="4"/>
    <n v="8.9600000000000009"/>
    <n v="46268.655147939811"/>
    <s v="Non-severe need"/>
  </r>
  <r>
    <n v="1000003503"/>
    <s v="Detroit Lakes ISD #22"/>
    <x v="6"/>
    <x v="6"/>
    <s v="SNP"/>
    <x v="0"/>
    <x v="0"/>
    <n v="0"/>
    <s v="APPR"/>
    <x v="0"/>
    <m/>
    <s v="Regular"/>
    <x v="0"/>
    <m/>
    <s v="10553"/>
    <s v=" "/>
    <s v="Resolved"/>
    <n v="0.42"/>
    <n v="21"/>
    <n v="8.82"/>
    <n v="46268.655147939811"/>
    <s v="Non-severe need"/>
  </r>
  <r>
    <n v="1000003503"/>
    <s v="Detroit Lakes ISD #22"/>
    <x v="6"/>
    <x v="6"/>
    <s v="SNP"/>
    <x v="0"/>
    <x v="0"/>
    <n v="0"/>
    <s v="APPR"/>
    <x v="1"/>
    <m/>
    <s v="Free"/>
    <x v="0"/>
    <m/>
    <s v="10555"/>
    <s v="004"/>
    <s v="Resolved"/>
    <n v="4.3099999999999996"/>
    <n v="11"/>
    <n v="47.41"/>
    <n v="46268.655147939811"/>
    <s v="Less than 60 percent"/>
  </r>
  <r>
    <n v="1000003503"/>
    <s v="Detroit Lakes ISD #22"/>
    <x v="6"/>
    <x v="6"/>
    <s v="SNP"/>
    <x v="0"/>
    <x v="0"/>
    <n v="0"/>
    <s v="APPR"/>
    <x v="1"/>
    <m/>
    <s v="HHFKA"/>
    <x v="0"/>
    <m/>
    <s v="10555"/>
    <s v="006"/>
    <s v="Resolved"/>
    <n v="0.09"/>
    <n v="32"/>
    <n v="2.88"/>
    <n v="46268.655147939811"/>
    <s v="Qualified"/>
  </r>
  <r>
    <n v="1000003503"/>
    <s v="Detroit Lakes ISD #22"/>
    <x v="6"/>
    <x v="6"/>
    <s v="SNP"/>
    <x v="0"/>
    <x v="0"/>
    <n v="0"/>
    <s v="APPR"/>
    <x v="1"/>
    <m/>
    <s v="Reduced"/>
    <x v="0"/>
    <m/>
    <s v="10555"/>
    <s v="004"/>
    <s v="Resolved"/>
    <n v="3.91"/>
    <n v="7"/>
    <n v="27.37"/>
    <n v="46268.655147939811"/>
    <s v="Less than 60 percent"/>
  </r>
  <r>
    <n v="1000003503"/>
    <s v="Detroit Lakes ISD #22"/>
    <x v="6"/>
    <x v="6"/>
    <s v="SNP"/>
    <x v="0"/>
    <x v="0"/>
    <n v="0"/>
    <s v="APPR"/>
    <x v="1"/>
    <m/>
    <s v="Total"/>
    <x v="0"/>
    <m/>
    <s v="10555"/>
    <s v="002"/>
    <s v="Resolved"/>
    <n v="0.45"/>
    <n v="32"/>
    <n v="14.4"/>
    <n v="46268.655147939811"/>
    <s v="Less than 60 percent"/>
  </r>
  <r>
    <n v="1000003503"/>
    <s v="Detroit Lakes ISD #22"/>
    <x v="6"/>
    <x v="6"/>
    <s v="SNP"/>
    <x v="0"/>
    <x v="0"/>
    <n v="0"/>
    <s v="APPR"/>
    <x v="0"/>
    <m/>
    <s v="Reduced"/>
    <x v="1"/>
    <m/>
    <s v="S6210"/>
    <s v=" "/>
    <s v="Resolved"/>
    <n v="0.3"/>
    <n v="4"/>
    <n v="1.2"/>
    <n v="46268.655147939811"/>
    <s v="MN-FSM"/>
  </r>
  <r>
    <n v="1000003503"/>
    <s v="Detroit Lakes ISD #22"/>
    <x v="6"/>
    <x v="6"/>
    <s v="SNP"/>
    <x v="0"/>
    <x v="0"/>
    <n v="0"/>
    <s v="APPR"/>
    <x v="0"/>
    <m/>
    <s v="Regular"/>
    <x v="1"/>
    <m/>
    <s v="S6210"/>
    <s v=" "/>
    <s v="Resolved"/>
    <n v="2.12"/>
    <n v="21"/>
    <n v="44.52"/>
    <n v="46268.655147939811"/>
    <s v="MN-FSM Non-severe Need"/>
  </r>
  <r>
    <n v="1000003503"/>
    <s v="Detroit Lakes ISD #22"/>
    <x v="6"/>
    <x v="6"/>
    <s v="SNP"/>
    <x v="0"/>
    <x v="0"/>
    <n v="0"/>
    <s v="APPR"/>
    <x v="1"/>
    <m/>
    <s v="Free"/>
    <x v="1"/>
    <m/>
    <s v="S6201"/>
    <s v=" "/>
    <s v="Resolved"/>
    <n v="0.125"/>
    <n v="11"/>
    <n v="1.37"/>
    <n v="46268.655147939811"/>
    <s v="MN-FSM"/>
  </r>
  <r>
    <n v="1000003503"/>
    <s v="Detroit Lakes ISD #22"/>
    <x v="6"/>
    <x v="6"/>
    <s v="SNP"/>
    <x v="0"/>
    <x v="0"/>
    <n v="0"/>
    <s v="APPR"/>
    <x v="1"/>
    <m/>
    <s v="Reduced"/>
    <x v="1"/>
    <m/>
    <s v="S6201"/>
    <s v=" "/>
    <s v="Resolved"/>
    <n v="0.52500000000000002"/>
    <n v="7"/>
    <n v="3.67"/>
    <n v="46268.655147939811"/>
    <s v="MN-FSM"/>
  </r>
  <r>
    <n v="1000003503"/>
    <s v="Detroit Lakes ISD #22"/>
    <x v="6"/>
    <x v="6"/>
    <s v="SNP"/>
    <x v="0"/>
    <x v="0"/>
    <n v="0"/>
    <s v="APPR"/>
    <x v="1"/>
    <m/>
    <s v="Regular"/>
    <x v="1"/>
    <m/>
    <s v="S6201"/>
    <s v=" "/>
    <s v="Resolved"/>
    <n v="4.4349999999999996"/>
    <n v="14"/>
    <n v="62.09"/>
    <n v="46268.655147939811"/>
    <s v="MN-FSM"/>
  </r>
  <r>
    <n v="1000003503"/>
    <s v="Detroit Lakes ISD #22"/>
    <x v="7"/>
    <x v="7"/>
    <s v="SNP"/>
    <x v="0"/>
    <x v="0"/>
    <n v="0"/>
    <s v="APPR"/>
    <x v="0"/>
    <m/>
    <s v="Free"/>
    <x v="0"/>
    <m/>
    <s v="10553"/>
    <s v=" "/>
    <s v="Resolved"/>
    <n v="3.05"/>
    <n v="86"/>
    <n v="262.3"/>
    <n v="46268.655147939811"/>
    <s v="Severe need"/>
  </r>
  <r>
    <n v="1000003503"/>
    <s v="Detroit Lakes ISD #22"/>
    <x v="7"/>
    <x v="7"/>
    <s v="SNP"/>
    <x v="0"/>
    <x v="0"/>
    <n v="0"/>
    <s v="APPR"/>
    <x v="0"/>
    <m/>
    <s v="Reduced"/>
    <x v="0"/>
    <m/>
    <s v="10553"/>
    <s v=" "/>
    <s v="Resolved"/>
    <n v="2.75"/>
    <n v="10"/>
    <n v="27.5"/>
    <n v="46268.655147939811"/>
    <s v="Severe need"/>
  </r>
  <r>
    <n v="1000003503"/>
    <s v="Detroit Lakes ISD #22"/>
    <x v="7"/>
    <x v="7"/>
    <s v="SNP"/>
    <x v="0"/>
    <x v="0"/>
    <n v="0"/>
    <s v="APPR"/>
    <x v="0"/>
    <m/>
    <s v="Regular"/>
    <x v="0"/>
    <m/>
    <s v="10553"/>
    <s v=" "/>
    <s v="Resolved"/>
    <n v="0.42"/>
    <n v="313"/>
    <n v="131.46"/>
    <n v="46268.655147939811"/>
    <s v="Severe need"/>
  </r>
  <r>
    <n v="1000003503"/>
    <s v="Detroit Lakes ISD #22"/>
    <x v="7"/>
    <x v="7"/>
    <s v="SNP"/>
    <x v="0"/>
    <x v="0"/>
    <n v="0"/>
    <s v="APPR"/>
    <x v="1"/>
    <m/>
    <s v="Free"/>
    <x v="0"/>
    <m/>
    <s v="10555"/>
    <s v="004"/>
    <s v="Resolved"/>
    <n v="4.3099999999999996"/>
    <n v="117"/>
    <n v="504.27"/>
    <n v="46268.655147939811"/>
    <s v="Less than 60 percent"/>
  </r>
  <r>
    <n v="1000003503"/>
    <s v="Detroit Lakes ISD #22"/>
    <x v="7"/>
    <x v="7"/>
    <s v="SNP"/>
    <x v="0"/>
    <x v="0"/>
    <n v="0"/>
    <s v="APPR"/>
    <x v="1"/>
    <m/>
    <s v="HHFKA"/>
    <x v="0"/>
    <m/>
    <s v="10555"/>
    <s v="006"/>
    <s v="Resolved"/>
    <n v="0.09"/>
    <n v="490"/>
    <n v="44.1"/>
    <n v="46268.655147939811"/>
    <s v="Qualified"/>
  </r>
  <r>
    <n v="1000003503"/>
    <s v="Detroit Lakes ISD #22"/>
    <x v="7"/>
    <x v="7"/>
    <s v="SNP"/>
    <x v="0"/>
    <x v="0"/>
    <n v="0"/>
    <s v="APPR"/>
    <x v="1"/>
    <m/>
    <s v="Reduced"/>
    <x v="0"/>
    <m/>
    <s v="10555"/>
    <s v="004"/>
    <s v="Resolved"/>
    <n v="3.91"/>
    <n v="17"/>
    <n v="66.47"/>
    <n v="46268.655147939811"/>
    <s v="Less than 60 percent"/>
  </r>
  <r>
    <n v="1000003503"/>
    <s v="Detroit Lakes ISD #22"/>
    <x v="7"/>
    <x v="7"/>
    <s v="SNP"/>
    <x v="0"/>
    <x v="0"/>
    <n v="0"/>
    <s v="APPR"/>
    <x v="1"/>
    <m/>
    <s v="Total"/>
    <x v="0"/>
    <m/>
    <s v="10555"/>
    <s v="002"/>
    <s v="Resolved"/>
    <n v="0.45"/>
    <n v="490"/>
    <n v="220.5"/>
    <n v="46268.655147939811"/>
    <s v="Less than 60 percent"/>
  </r>
  <r>
    <n v="1000003503"/>
    <s v="Detroit Lakes ISD #22"/>
    <x v="7"/>
    <x v="7"/>
    <s v="SNP"/>
    <x v="0"/>
    <x v="0"/>
    <n v="0"/>
    <s v="APPR"/>
    <x v="0"/>
    <m/>
    <s v="Reduced"/>
    <x v="1"/>
    <m/>
    <s v="S6210"/>
    <s v=" "/>
    <s v="Resolved"/>
    <n v="0.3"/>
    <n v="10"/>
    <n v="3"/>
    <n v="46268.655147939811"/>
    <s v="MN-FSM"/>
  </r>
  <r>
    <n v="1000003503"/>
    <s v="Detroit Lakes ISD #22"/>
    <x v="7"/>
    <x v="7"/>
    <s v="SNP"/>
    <x v="0"/>
    <x v="0"/>
    <n v="0"/>
    <s v="APPR"/>
    <x v="0"/>
    <m/>
    <s v="Regular"/>
    <x v="1"/>
    <m/>
    <s v="S6210"/>
    <s v=" "/>
    <s v="Resolved"/>
    <n v="2.63"/>
    <n v="313"/>
    <n v="823.19"/>
    <n v="46268.655147939811"/>
    <s v="MN-FSM Severe Need"/>
  </r>
  <r>
    <n v="1000003503"/>
    <s v="Detroit Lakes ISD #22"/>
    <x v="7"/>
    <x v="7"/>
    <s v="SNP"/>
    <x v="0"/>
    <x v="0"/>
    <n v="0"/>
    <s v="APPR"/>
    <x v="1"/>
    <m/>
    <s v="Free"/>
    <x v="1"/>
    <m/>
    <s v="S6201"/>
    <s v=" "/>
    <s v="Resolved"/>
    <n v="0.125"/>
    <n v="117"/>
    <n v="14.62"/>
    <n v="46268.655147939811"/>
    <s v="MN-FSM"/>
  </r>
  <r>
    <n v="1000003503"/>
    <s v="Detroit Lakes ISD #22"/>
    <x v="7"/>
    <x v="7"/>
    <s v="SNP"/>
    <x v="0"/>
    <x v="0"/>
    <n v="0"/>
    <s v="APPR"/>
    <x v="1"/>
    <m/>
    <s v="Reduced"/>
    <x v="1"/>
    <m/>
    <s v="S6201"/>
    <s v=" "/>
    <s v="Resolved"/>
    <n v="0.52500000000000002"/>
    <n v="17"/>
    <n v="8.92"/>
    <n v="46268.655147939811"/>
    <s v="MN-FSM"/>
  </r>
  <r>
    <n v="1000003503"/>
    <s v="Detroit Lakes ISD #22"/>
    <x v="7"/>
    <x v="7"/>
    <s v="SNP"/>
    <x v="0"/>
    <x v="0"/>
    <n v="0"/>
    <s v="APPR"/>
    <x v="1"/>
    <m/>
    <s v="Regular"/>
    <x v="1"/>
    <m/>
    <s v="S6201"/>
    <s v=" "/>
    <s v="Resolved"/>
    <n v="4.4349999999999996"/>
    <n v="356"/>
    <n v="1578.86"/>
    <n v="46268.655147939811"/>
    <s v="MN-FSM"/>
  </r>
  <r>
    <n v="1000003838"/>
    <s v="Eastern Carver County School ISD #112"/>
    <x v="8"/>
    <x v="8"/>
    <s v="SNP"/>
    <x v="0"/>
    <x v="0"/>
    <n v="0"/>
    <s v="APPR"/>
    <x v="0"/>
    <m/>
    <s v="Free"/>
    <x v="0"/>
    <m/>
    <s v="10553"/>
    <s v=" "/>
    <s v="Resolved"/>
    <n v="2.54"/>
    <n v="843"/>
    <n v="2141.2199999999998"/>
    <n v="46268.655147939811"/>
    <s v="Non-severe need"/>
  </r>
  <r>
    <n v="1000003838"/>
    <s v="Eastern Carver County School ISD #112"/>
    <x v="8"/>
    <x v="8"/>
    <s v="SNP"/>
    <x v="0"/>
    <x v="0"/>
    <n v="0"/>
    <s v="APPR"/>
    <x v="0"/>
    <m/>
    <s v="Reduced"/>
    <x v="0"/>
    <m/>
    <s v="10553"/>
    <s v=" "/>
    <s v="Resolved"/>
    <n v="2.2400000000000002"/>
    <n v="110"/>
    <n v="246.4"/>
    <n v="46268.655147939811"/>
    <s v="Non-severe need"/>
  </r>
  <r>
    <n v="1000003838"/>
    <s v="Eastern Carver County School ISD #112"/>
    <x v="8"/>
    <x v="8"/>
    <s v="SNP"/>
    <x v="0"/>
    <x v="0"/>
    <n v="0"/>
    <s v="APPR"/>
    <x v="0"/>
    <m/>
    <s v="Regular"/>
    <x v="0"/>
    <m/>
    <s v="10553"/>
    <s v=" "/>
    <s v="Resolved"/>
    <n v="0.42"/>
    <n v="821"/>
    <n v="344.82"/>
    <n v="46268.655147939811"/>
    <s v="Non-severe need"/>
  </r>
  <r>
    <n v="1000003838"/>
    <s v="Eastern Carver County School ISD #112"/>
    <x v="8"/>
    <x v="8"/>
    <s v="SNP"/>
    <x v="0"/>
    <x v="0"/>
    <n v="0"/>
    <s v="APPR"/>
    <x v="1"/>
    <m/>
    <s v="Free"/>
    <x v="0"/>
    <m/>
    <s v="10555"/>
    <s v="004"/>
    <s v="Resolved"/>
    <n v="4.3099999999999996"/>
    <n v="1182"/>
    <n v="5094.42"/>
    <n v="46268.655147939811"/>
    <s v="Less than 60 percent"/>
  </r>
  <r>
    <n v="1000003838"/>
    <s v="Eastern Carver County School ISD #112"/>
    <x v="8"/>
    <x v="8"/>
    <s v="SNP"/>
    <x v="0"/>
    <x v="0"/>
    <n v="0"/>
    <s v="APPR"/>
    <x v="1"/>
    <m/>
    <s v="HHFKA"/>
    <x v="0"/>
    <m/>
    <s v="10555"/>
    <s v="006"/>
    <s v="Resolved"/>
    <n v="0.09"/>
    <n v="3081"/>
    <n v="277.29000000000002"/>
    <n v="46268.655147939811"/>
    <s v="Qualified"/>
  </r>
  <r>
    <n v="1000003838"/>
    <s v="Eastern Carver County School ISD #112"/>
    <x v="8"/>
    <x v="8"/>
    <s v="SNP"/>
    <x v="0"/>
    <x v="0"/>
    <n v="0"/>
    <s v="APPR"/>
    <x v="1"/>
    <m/>
    <s v="Reduced"/>
    <x v="0"/>
    <m/>
    <s v="10555"/>
    <s v="004"/>
    <s v="Resolved"/>
    <n v="3.91"/>
    <n v="192"/>
    <n v="750.72"/>
    <n v="46268.655147939811"/>
    <s v="Less than 60 percent"/>
  </r>
  <r>
    <n v="1000003838"/>
    <s v="Eastern Carver County School ISD #112"/>
    <x v="8"/>
    <x v="8"/>
    <s v="SNP"/>
    <x v="0"/>
    <x v="0"/>
    <n v="0"/>
    <s v="APPR"/>
    <x v="1"/>
    <m/>
    <s v="Total"/>
    <x v="0"/>
    <m/>
    <s v="10555"/>
    <s v="002"/>
    <s v="Resolved"/>
    <n v="0.45"/>
    <n v="3081"/>
    <n v="1386.45"/>
    <n v="46268.655147939811"/>
    <s v="Less than 60 percent"/>
  </r>
  <r>
    <n v="1000003838"/>
    <s v="Eastern Carver County School ISD #112"/>
    <x v="8"/>
    <x v="8"/>
    <s v="SNP"/>
    <x v="0"/>
    <x v="0"/>
    <n v="0"/>
    <s v="APPR"/>
    <x v="0"/>
    <m/>
    <s v="Reduced"/>
    <x v="1"/>
    <m/>
    <s v="S6210"/>
    <s v=" "/>
    <s v="Resolved"/>
    <n v="0.3"/>
    <n v="110"/>
    <n v="33"/>
    <n v="46268.655147939811"/>
    <s v="MN-FSM"/>
  </r>
  <r>
    <n v="1000003838"/>
    <s v="Eastern Carver County School ISD #112"/>
    <x v="8"/>
    <x v="8"/>
    <s v="SNP"/>
    <x v="0"/>
    <x v="0"/>
    <n v="0"/>
    <s v="APPR"/>
    <x v="0"/>
    <m/>
    <s v="Regular"/>
    <x v="1"/>
    <m/>
    <s v="S6210"/>
    <s v=" "/>
    <s v="Resolved"/>
    <n v="2.12"/>
    <n v="821"/>
    <n v="1740.52"/>
    <n v="46268.655147939811"/>
    <s v="MN-FSM Non-severe Need"/>
  </r>
  <r>
    <n v="1000003838"/>
    <s v="Eastern Carver County School ISD #112"/>
    <x v="8"/>
    <x v="8"/>
    <s v="SNP"/>
    <x v="0"/>
    <x v="0"/>
    <n v="0"/>
    <s v="APPR"/>
    <x v="1"/>
    <m/>
    <s v="Free"/>
    <x v="1"/>
    <m/>
    <s v="S6201"/>
    <s v=" "/>
    <s v="Resolved"/>
    <n v="0.125"/>
    <n v="1182"/>
    <n v="147.75"/>
    <n v="46268.655147939811"/>
    <s v="MN-FSM"/>
  </r>
  <r>
    <n v="1000003838"/>
    <s v="Eastern Carver County School ISD #112"/>
    <x v="8"/>
    <x v="8"/>
    <s v="SNP"/>
    <x v="0"/>
    <x v="0"/>
    <n v="0"/>
    <s v="APPR"/>
    <x v="1"/>
    <m/>
    <s v="Reduced"/>
    <x v="1"/>
    <m/>
    <s v="S6201"/>
    <s v=" "/>
    <s v="Resolved"/>
    <n v="0.52500000000000002"/>
    <n v="192"/>
    <n v="100.8"/>
    <n v="46268.655147939811"/>
    <s v="MN-FSM"/>
  </r>
  <r>
    <n v="1000003838"/>
    <s v="Eastern Carver County School ISD #112"/>
    <x v="8"/>
    <x v="8"/>
    <s v="SNP"/>
    <x v="0"/>
    <x v="0"/>
    <n v="0"/>
    <s v="APPR"/>
    <x v="1"/>
    <m/>
    <s v="Regular"/>
    <x v="1"/>
    <m/>
    <s v="S6201"/>
    <s v=" "/>
    <s v="Resolved"/>
    <n v="4.4349999999999996"/>
    <n v="1707"/>
    <n v="7570.54"/>
    <n v="46268.655147939811"/>
    <s v="MN-FSM"/>
  </r>
  <r>
    <n v="1000003838"/>
    <s v="Eastern Carver County School ISD #112"/>
    <x v="9"/>
    <x v="9"/>
    <s v="SNP"/>
    <x v="0"/>
    <x v="0"/>
    <n v="0"/>
    <s v="APPR"/>
    <x v="0"/>
    <m/>
    <s v="Free"/>
    <x v="0"/>
    <m/>
    <s v="10553"/>
    <s v=" "/>
    <s v="Resolved"/>
    <n v="2.54"/>
    <n v="281"/>
    <n v="713.74"/>
    <n v="46268.655147939811"/>
    <s v="Non-severe need"/>
  </r>
  <r>
    <n v="1000003838"/>
    <s v="Eastern Carver County School ISD #112"/>
    <x v="9"/>
    <x v="9"/>
    <s v="SNP"/>
    <x v="0"/>
    <x v="0"/>
    <n v="0"/>
    <s v="APPR"/>
    <x v="0"/>
    <m/>
    <s v="Reduced"/>
    <x v="0"/>
    <m/>
    <s v="10553"/>
    <s v=" "/>
    <s v="Resolved"/>
    <n v="2.2400000000000002"/>
    <n v="61"/>
    <n v="136.63999999999999"/>
    <n v="46268.655147939811"/>
    <s v="Non-severe need"/>
  </r>
  <r>
    <n v="1000003838"/>
    <s v="Eastern Carver County School ISD #112"/>
    <x v="9"/>
    <x v="9"/>
    <s v="SNP"/>
    <x v="0"/>
    <x v="0"/>
    <n v="0"/>
    <s v="APPR"/>
    <x v="0"/>
    <m/>
    <s v="Regular"/>
    <x v="0"/>
    <m/>
    <s v="10553"/>
    <s v=" "/>
    <s v="Resolved"/>
    <n v="0.42"/>
    <n v="338"/>
    <n v="141.96"/>
    <n v="46268.655147939811"/>
    <s v="Non-severe need"/>
  </r>
  <r>
    <n v="1000003838"/>
    <s v="Eastern Carver County School ISD #112"/>
    <x v="9"/>
    <x v="9"/>
    <s v="SNP"/>
    <x v="0"/>
    <x v="0"/>
    <n v="0"/>
    <s v="APPR"/>
    <x v="1"/>
    <m/>
    <s v="Free"/>
    <x v="0"/>
    <m/>
    <s v="10555"/>
    <s v="004"/>
    <s v="Resolved"/>
    <n v="4.3099999999999996"/>
    <n v="661"/>
    <n v="2848.91"/>
    <n v="46268.655147939811"/>
    <s v="Less than 60 percent"/>
  </r>
  <r>
    <n v="1000003838"/>
    <s v="Eastern Carver County School ISD #112"/>
    <x v="9"/>
    <x v="9"/>
    <s v="SNP"/>
    <x v="0"/>
    <x v="0"/>
    <n v="0"/>
    <s v="APPR"/>
    <x v="1"/>
    <m/>
    <s v="HHFKA"/>
    <x v="0"/>
    <m/>
    <s v="10555"/>
    <s v="006"/>
    <s v="Resolved"/>
    <n v="0.09"/>
    <n v="1764"/>
    <n v="158.76"/>
    <n v="46268.655147939811"/>
    <s v="Qualified"/>
  </r>
  <r>
    <n v="1000003838"/>
    <s v="Eastern Carver County School ISD #112"/>
    <x v="9"/>
    <x v="9"/>
    <s v="SNP"/>
    <x v="0"/>
    <x v="0"/>
    <n v="0"/>
    <s v="APPR"/>
    <x v="1"/>
    <m/>
    <s v="Reduced"/>
    <x v="0"/>
    <m/>
    <s v="10555"/>
    <s v="004"/>
    <s v="Resolved"/>
    <n v="3.91"/>
    <n v="219"/>
    <n v="856.29"/>
    <n v="46268.655147939811"/>
    <s v="Less than 60 percent"/>
  </r>
  <r>
    <n v="1000003838"/>
    <s v="Eastern Carver County School ISD #112"/>
    <x v="9"/>
    <x v="9"/>
    <s v="SNP"/>
    <x v="0"/>
    <x v="0"/>
    <n v="0"/>
    <s v="APPR"/>
    <x v="1"/>
    <m/>
    <s v="Total"/>
    <x v="0"/>
    <m/>
    <s v="10555"/>
    <s v="002"/>
    <s v="Resolved"/>
    <n v="0.45"/>
    <n v="1764"/>
    <n v="793.8"/>
    <n v="46268.655147939811"/>
    <s v="Less than 60 percent"/>
  </r>
  <r>
    <n v="1000003838"/>
    <s v="Eastern Carver County School ISD #112"/>
    <x v="9"/>
    <x v="9"/>
    <s v="SNP"/>
    <x v="0"/>
    <x v="0"/>
    <n v="0"/>
    <s v="APPR"/>
    <x v="0"/>
    <m/>
    <s v="Reduced"/>
    <x v="1"/>
    <m/>
    <s v="S6210"/>
    <s v=" "/>
    <s v="Resolved"/>
    <n v="0.3"/>
    <n v="61"/>
    <n v="18.3"/>
    <n v="46268.655147939811"/>
    <s v="MN-FSM"/>
  </r>
  <r>
    <n v="1000003838"/>
    <s v="Eastern Carver County School ISD #112"/>
    <x v="9"/>
    <x v="9"/>
    <s v="SNP"/>
    <x v="0"/>
    <x v="0"/>
    <n v="0"/>
    <s v="APPR"/>
    <x v="0"/>
    <m/>
    <s v="Regular"/>
    <x v="1"/>
    <m/>
    <s v="S6210"/>
    <s v=" "/>
    <s v="Resolved"/>
    <n v="2.12"/>
    <n v="338"/>
    <n v="716.56"/>
    <n v="46268.655147939811"/>
    <s v="MN-FSM Non-severe Need"/>
  </r>
  <r>
    <n v="1000003838"/>
    <s v="Eastern Carver County School ISD #112"/>
    <x v="9"/>
    <x v="9"/>
    <s v="SNP"/>
    <x v="0"/>
    <x v="0"/>
    <n v="0"/>
    <s v="APPR"/>
    <x v="1"/>
    <m/>
    <s v="Free"/>
    <x v="1"/>
    <m/>
    <s v="S6201"/>
    <s v=" "/>
    <s v="Resolved"/>
    <n v="0.125"/>
    <n v="661"/>
    <n v="82.62"/>
    <n v="46268.655147939811"/>
    <s v="MN-FSM"/>
  </r>
  <r>
    <n v="1000003838"/>
    <s v="Eastern Carver County School ISD #112"/>
    <x v="9"/>
    <x v="9"/>
    <s v="SNP"/>
    <x v="0"/>
    <x v="0"/>
    <n v="0"/>
    <s v="APPR"/>
    <x v="1"/>
    <m/>
    <s v="Reduced"/>
    <x v="1"/>
    <m/>
    <s v="S6201"/>
    <s v=" "/>
    <s v="Resolved"/>
    <n v="0.52500000000000002"/>
    <n v="219"/>
    <n v="114.97"/>
    <n v="46268.655147939811"/>
    <s v="MN-FSM"/>
  </r>
  <r>
    <n v="1000003838"/>
    <s v="Eastern Carver County School ISD #112"/>
    <x v="9"/>
    <x v="9"/>
    <s v="SNP"/>
    <x v="0"/>
    <x v="0"/>
    <n v="0"/>
    <s v="APPR"/>
    <x v="1"/>
    <m/>
    <s v="Regular"/>
    <x v="1"/>
    <m/>
    <s v="S6201"/>
    <s v=" "/>
    <s v="Resolved"/>
    <n v="4.4349999999999996"/>
    <n v="884"/>
    <n v="3920.54"/>
    <n v="46268.655147939811"/>
    <s v="MN-FSM"/>
  </r>
  <r>
    <n v="1000003961"/>
    <s v="Fergus Falls ISD #544"/>
    <x v="10"/>
    <x v="10"/>
    <s v="SNP"/>
    <x v="0"/>
    <x v="0"/>
    <n v="0"/>
    <s v="APPR"/>
    <x v="0"/>
    <m/>
    <s v="Free"/>
    <x v="0"/>
    <m/>
    <s v="10553"/>
    <s v=" "/>
    <s v="Resolved"/>
    <n v="2.54"/>
    <n v="248"/>
    <n v="629.91999999999996"/>
    <n v="46268.655147939811"/>
    <s v="Non-severe need"/>
  </r>
  <r>
    <n v="1000003961"/>
    <s v="Fergus Falls ISD #544"/>
    <x v="10"/>
    <x v="10"/>
    <s v="SNP"/>
    <x v="0"/>
    <x v="0"/>
    <n v="0"/>
    <s v="APPR"/>
    <x v="0"/>
    <m/>
    <s v="Reduced"/>
    <x v="0"/>
    <m/>
    <s v="10553"/>
    <s v=" "/>
    <s v="Resolved"/>
    <n v="2.2400000000000002"/>
    <n v="90"/>
    <n v="201.6"/>
    <n v="46268.655147939811"/>
    <s v="Non-severe need"/>
  </r>
  <r>
    <n v="1000003961"/>
    <s v="Fergus Falls ISD #544"/>
    <x v="10"/>
    <x v="10"/>
    <s v="SNP"/>
    <x v="0"/>
    <x v="0"/>
    <n v="0"/>
    <s v="APPR"/>
    <x v="0"/>
    <m/>
    <s v="Regular"/>
    <x v="0"/>
    <m/>
    <s v="10553"/>
    <s v=" "/>
    <s v="Resolved"/>
    <n v="0.42"/>
    <n v="128"/>
    <n v="53.76"/>
    <n v="46268.655147939811"/>
    <s v="Non-severe need"/>
  </r>
  <r>
    <n v="1000003961"/>
    <s v="Fergus Falls ISD #544"/>
    <x v="10"/>
    <x v="10"/>
    <s v="SNP"/>
    <x v="0"/>
    <x v="0"/>
    <n v="0"/>
    <s v="APPR"/>
    <x v="1"/>
    <m/>
    <s v="Free"/>
    <x v="0"/>
    <m/>
    <s v="10555"/>
    <s v="004"/>
    <s v="Resolved"/>
    <n v="4.3099999999999996"/>
    <n v="335"/>
    <n v="1443.85"/>
    <n v="46268.655147939811"/>
    <s v="Less than 60 percent"/>
  </r>
  <r>
    <n v="1000003961"/>
    <s v="Fergus Falls ISD #544"/>
    <x v="10"/>
    <x v="10"/>
    <s v="SNP"/>
    <x v="0"/>
    <x v="0"/>
    <n v="0"/>
    <s v="APPR"/>
    <x v="1"/>
    <m/>
    <s v="HHFKA"/>
    <x v="0"/>
    <m/>
    <s v="10555"/>
    <s v="006"/>
    <s v="Resolved"/>
    <n v="0.09"/>
    <n v="647"/>
    <n v="58.23"/>
    <n v="46268.655147939811"/>
    <s v="Qualified"/>
  </r>
  <r>
    <n v="1000003961"/>
    <s v="Fergus Falls ISD #544"/>
    <x v="10"/>
    <x v="10"/>
    <s v="SNP"/>
    <x v="0"/>
    <x v="0"/>
    <n v="0"/>
    <s v="APPR"/>
    <x v="1"/>
    <m/>
    <s v="Reduced"/>
    <x v="0"/>
    <m/>
    <s v="10555"/>
    <s v="004"/>
    <s v="Resolved"/>
    <n v="3.91"/>
    <n v="88"/>
    <n v="344.08"/>
    <n v="46268.655147939811"/>
    <s v="Less than 60 percent"/>
  </r>
  <r>
    <n v="1000003961"/>
    <s v="Fergus Falls ISD #544"/>
    <x v="10"/>
    <x v="10"/>
    <s v="SNP"/>
    <x v="0"/>
    <x v="0"/>
    <n v="0"/>
    <s v="APPR"/>
    <x v="1"/>
    <m/>
    <s v="Total"/>
    <x v="0"/>
    <m/>
    <s v="10555"/>
    <s v="002"/>
    <s v="Resolved"/>
    <n v="0.45"/>
    <n v="647"/>
    <n v="291.14999999999998"/>
    <n v="46268.655147939811"/>
    <s v="Less than 60 percent"/>
  </r>
  <r>
    <n v="1000003961"/>
    <s v="Fergus Falls ISD #544"/>
    <x v="10"/>
    <x v="10"/>
    <s v="SNP"/>
    <x v="0"/>
    <x v="0"/>
    <n v="0"/>
    <s v="APPR"/>
    <x v="0"/>
    <m/>
    <s v="Reduced"/>
    <x v="1"/>
    <m/>
    <s v="S6210"/>
    <s v=" "/>
    <s v="Resolved"/>
    <n v="0.3"/>
    <n v="90"/>
    <n v="27"/>
    <n v="46268.655147939811"/>
    <s v="MN-FSM"/>
  </r>
  <r>
    <n v="1000003961"/>
    <s v="Fergus Falls ISD #544"/>
    <x v="10"/>
    <x v="10"/>
    <s v="SNP"/>
    <x v="0"/>
    <x v="0"/>
    <n v="0"/>
    <s v="APPR"/>
    <x v="0"/>
    <m/>
    <s v="Regular"/>
    <x v="1"/>
    <m/>
    <s v="S6210"/>
    <s v=" "/>
    <s v="Resolved"/>
    <n v="2.12"/>
    <n v="128"/>
    <n v="271.36"/>
    <n v="46268.655147939811"/>
    <s v="MN-FSM Non-severe Need"/>
  </r>
  <r>
    <n v="1000003961"/>
    <s v="Fergus Falls ISD #544"/>
    <x v="10"/>
    <x v="10"/>
    <s v="SNP"/>
    <x v="0"/>
    <x v="0"/>
    <n v="0"/>
    <s v="APPR"/>
    <x v="1"/>
    <m/>
    <s v="Free"/>
    <x v="1"/>
    <m/>
    <s v="S6201"/>
    <s v=" "/>
    <s v="Resolved"/>
    <n v="0.125"/>
    <n v="335"/>
    <n v="41.87"/>
    <n v="46268.655147939811"/>
    <s v="MN-FSM"/>
  </r>
  <r>
    <n v="1000003961"/>
    <s v="Fergus Falls ISD #544"/>
    <x v="10"/>
    <x v="10"/>
    <s v="SNP"/>
    <x v="0"/>
    <x v="0"/>
    <n v="0"/>
    <s v="APPR"/>
    <x v="1"/>
    <m/>
    <s v="Reduced"/>
    <x v="1"/>
    <m/>
    <s v="S6201"/>
    <s v=" "/>
    <s v="Resolved"/>
    <n v="0.52500000000000002"/>
    <n v="88"/>
    <n v="46.2"/>
    <n v="46268.655147939811"/>
    <s v="MN-FSM"/>
  </r>
  <r>
    <n v="1000003961"/>
    <s v="Fergus Falls ISD #544"/>
    <x v="10"/>
    <x v="10"/>
    <s v="SNP"/>
    <x v="0"/>
    <x v="0"/>
    <n v="0"/>
    <s v="APPR"/>
    <x v="1"/>
    <m/>
    <s v="Regular"/>
    <x v="1"/>
    <m/>
    <s v="S6201"/>
    <s v=" "/>
    <s v="Resolved"/>
    <n v="4.4349999999999996"/>
    <n v="224"/>
    <n v="993.44"/>
    <n v="46268.655147939811"/>
    <s v="MN-FSM"/>
  </r>
  <r>
    <n v="1000004768"/>
    <s v="Gerard Treatment Programs"/>
    <x v="11"/>
    <x v="11"/>
    <s v="SNP"/>
    <x v="0"/>
    <x v="0"/>
    <n v="0"/>
    <s v="APPR"/>
    <x v="2"/>
    <m/>
    <s v="Free"/>
    <x v="0"/>
    <m/>
    <s v="10555"/>
    <s v="SNA"/>
    <s v="Resolved"/>
    <n v="1.3"/>
    <n v="858"/>
    <n v="1115.4000000000001"/>
    <n v="46268.655147939811"/>
    <s v=" "/>
  </r>
  <r>
    <n v="1000004768"/>
    <s v="Gerard Treatment Programs"/>
    <x v="11"/>
    <x v="11"/>
    <s v="SNP"/>
    <x v="0"/>
    <x v="0"/>
    <n v="0"/>
    <s v="APPR"/>
    <x v="0"/>
    <m/>
    <s v="Free"/>
    <x v="0"/>
    <m/>
    <s v="10553"/>
    <s v=" "/>
    <s v="Resolved"/>
    <n v="3.05"/>
    <n v="1239"/>
    <n v="3778.95"/>
    <n v="46268.655147939811"/>
    <s v="Severe need"/>
  </r>
  <r>
    <n v="1000004768"/>
    <s v="Gerard Treatment Programs"/>
    <x v="11"/>
    <x v="11"/>
    <s v="SNP"/>
    <x v="0"/>
    <x v="0"/>
    <n v="0"/>
    <s v="APPR"/>
    <x v="1"/>
    <m/>
    <s v="Free"/>
    <x v="0"/>
    <m/>
    <s v="10555"/>
    <s v="004"/>
    <s v="Resolved"/>
    <n v="4.3099999999999996"/>
    <n v="1214"/>
    <n v="5232.34"/>
    <n v="46268.655147939811"/>
    <s v="60 percent or over"/>
  </r>
  <r>
    <n v="1000004768"/>
    <s v="Gerard Treatment Programs"/>
    <x v="11"/>
    <x v="11"/>
    <s v="SNP"/>
    <x v="0"/>
    <x v="0"/>
    <n v="0"/>
    <s v="APPR"/>
    <x v="1"/>
    <m/>
    <s v="HHFKA"/>
    <x v="0"/>
    <m/>
    <s v="10555"/>
    <s v="006"/>
    <s v="Resolved"/>
    <n v="0.09"/>
    <n v="1214"/>
    <n v="109.26"/>
    <n v="46268.655147939811"/>
    <s v="Qualified"/>
  </r>
  <r>
    <n v="1000004768"/>
    <s v="Gerard Treatment Programs"/>
    <x v="11"/>
    <x v="11"/>
    <s v="SNP"/>
    <x v="0"/>
    <x v="0"/>
    <n v="0"/>
    <s v="APPR"/>
    <x v="1"/>
    <m/>
    <s v="Total"/>
    <x v="0"/>
    <m/>
    <s v="10555"/>
    <s v="002"/>
    <s v="Resolved"/>
    <n v="0.47"/>
    <n v="1214"/>
    <n v="570.58000000000004"/>
    <n v="46268.655147939811"/>
    <s v="60 percent or over"/>
  </r>
  <r>
    <n v="1000004768"/>
    <s v="Gerard Treatment Programs"/>
    <x v="11"/>
    <x v="11"/>
    <s v="SNP"/>
    <x v="0"/>
    <x v="0"/>
    <n v="0"/>
    <s v="APPR"/>
    <x v="1"/>
    <m/>
    <s v="Free"/>
    <x v="1"/>
    <m/>
    <s v="S6201"/>
    <s v=" "/>
    <s v="Resolved"/>
    <n v="0.125"/>
    <n v="1214"/>
    <n v="151.75"/>
    <n v="46268.655147939811"/>
    <s v="MN-FSM"/>
  </r>
  <r>
    <n v="1000004395"/>
    <s v="Heartland Girls Ranch"/>
    <x v="12"/>
    <x v="12"/>
    <s v="SNP"/>
    <x v="0"/>
    <x v="0"/>
    <n v="0"/>
    <s v="APPR"/>
    <x v="2"/>
    <m/>
    <s v="Free"/>
    <x v="0"/>
    <m/>
    <s v="10555"/>
    <s v="SNA"/>
    <s v="Resolved"/>
    <n v="1.3"/>
    <n v="464"/>
    <n v="603.20000000000005"/>
    <n v="46268.655147939811"/>
    <s v=" "/>
  </r>
  <r>
    <n v="1000004395"/>
    <s v="Heartland Girls Ranch"/>
    <x v="12"/>
    <x v="12"/>
    <s v="SNP"/>
    <x v="0"/>
    <x v="0"/>
    <n v="0"/>
    <s v="APPR"/>
    <x v="0"/>
    <m/>
    <s v="Free"/>
    <x v="0"/>
    <m/>
    <s v="10553"/>
    <s v=" "/>
    <s v="Resolved"/>
    <n v="3.05"/>
    <n v="609"/>
    <n v="1857.45"/>
    <n v="46268.655147939811"/>
    <s v="Severe need"/>
  </r>
  <r>
    <n v="1000004395"/>
    <s v="Heartland Girls Ranch"/>
    <x v="12"/>
    <x v="12"/>
    <s v="SNP"/>
    <x v="0"/>
    <x v="0"/>
    <n v="0"/>
    <s v="APPR"/>
    <x v="1"/>
    <m/>
    <s v="Free"/>
    <x v="0"/>
    <m/>
    <s v="10555"/>
    <s v="004"/>
    <s v="Resolved"/>
    <n v="4.3099999999999996"/>
    <n v="605"/>
    <n v="2607.5500000000002"/>
    <n v="46268.655147939811"/>
    <s v="60 percent or over"/>
  </r>
  <r>
    <n v="1000004395"/>
    <s v="Heartland Girls Ranch"/>
    <x v="12"/>
    <x v="12"/>
    <s v="SNP"/>
    <x v="0"/>
    <x v="0"/>
    <n v="0"/>
    <s v="APPR"/>
    <x v="1"/>
    <m/>
    <s v="HHFKA"/>
    <x v="0"/>
    <m/>
    <s v="10555"/>
    <s v="006"/>
    <s v="Resolved"/>
    <n v="0.09"/>
    <n v="605"/>
    <n v="54.45"/>
    <n v="46268.655147939811"/>
    <s v="Qualified"/>
  </r>
  <r>
    <n v="1000004395"/>
    <s v="Heartland Girls Ranch"/>
    <x v="12"/>
    <x v="12"/>
    <s v="SNP"/>
    <x v="0"/>
    <x v="0"/>
    <n v="0"/>
    <s v="APPR"/>
    <x v="1"/>
    <m/>
    <s v="Total"/>
    <x v="0"/>
    <m/>
    <s v="10555"/>
    <s v="002"/>
    <s v="Resolved"/>
    <n v="0.47"/>
    <n v="605"/>
    <n v="284.35000000000002"/>
    <n v="46268.655147939811"/>
    <s v="60 percent or over"/>
  </r>
  <r>
    <n v="1000004395"/>
    <s v="Heartland Girls Ranch"/>
    <x v="12"/>
    <x v="12"/>
    <s v="SNP"/>
    <x v="0"/>
    <x v="0"/>
    <n v="0"/>
    <s v="APPR"/>
    <x v="1"/>
    <m/>
    <s v="Free"/>
    <x v="1"/>
    <m/>
    <s v="S6201"/>
    <s v=" "/>
    <s v="Resolved"/>
    <n v="0.125"/>
    <n v="605"/>
    <n v="75.62"/>
    <n v="46268.655147939811"/>
    <s v="MN-FSM"/>
  </r>
  <r>
    <n v="1000004368"/>
    <s v="Hennepin Cty Dept of Community Corrections &amp; Rehabilitation"/>
    <x v="13"/>
    <x v="13"/>
    <s v="SNP"/>
    <x v="0"/>
    <x v="0"/>
    <n v="0"/>
    <s v="APPR"/>
    <x v="2"/>
    <m/>
    <s v="Free"/>
    <x v="0"/>
    <m/>
    <s v="10555"/>
    <s v="SNA"/>
    <s v="Resolved"/>
    <n v="1.3"/>
    <n v="198"/>
    <n v="257.39999999999998"/>
    <n v="46268.655147939811"/>
    <s v=" "/>
  </r>
  <r>
    <n v="1000004368"/>
    <s v="Hennepin Cty Dept of Community Corrections &amp; Rehabilitation"/>
    <x v="13"/>
    <x v="13"/>
    <s v="SNP"/>
    <x v="0"/>
    <x v="0"/>
    <n v="0"/>
    <s v="APPR"/>
    <x v="0"/>
    <m/>
    <s v="Free"/>
    <x v="0"/>
    <m/>
    <s v="10553"/>
    <s v=" "/>
    <s v="Resolved"/>
    <n v="3.05"/>
    <n v="439"/>
    <n v="1338.95"/>
    <n v="46268.655147939811"/>
    <s v="Severe need"/>
  </r>
  <r>
    <n v="1000004368"/>
    <s v="Hennepin Cty Dept of Community Corrections &amp; Rehabilitation"/>
    <x v="13"/>
    <x v="13"/>
    <s v="SNP"/>
    <x v="0"/>
    <x v="0"/>
    <n v="0"/>
    <s v="APPR"/>
    <x v="1"/>
    <m/>
    <s v="Free"/>
    <x v="0"/>
    <m/>
    <s v="10555"/>
    <s v="004"/>
    <s v="Resolved"/>
    <n v="4.3099999999999996"/>
    <n v="438"/>
    <n v="1887.78"/>
    <n v="46268.655147939811"/>
    <s v="60 percent or over"/>
  </r>
  <r>
    <n v="1000004368"/>
    <s v="Hennepin Cty Dept of Community Corrections &amp; Rehabilitation"/>
    <x v="13"/>
    <x v="13"/>
    <s v="SNP"/>
    <x v="0"/>
    <x v="0"/>
    <n v="0"/>
    <s v="APPR"/>
    <x v="1"/>
    <m/>
    <s v="HHFKA"/>
    <x v="0"/>
    <m/>
    <s v="10555"/>
    <s v="006"/>
    <s v="Resolved"/>
    <n v="0.09"/>
    <n v="438"/>
    <n v="39.42"/>
    <n v="46268.655147939811"/>
    <s v="Qualified"/>
  </r>
  <r>
    <n v="1000004368"/>
    <s v="Hennepin Cty Dept of Community Corrections &amp; Rehabilitation"/>
    <x v="13"/>
    <x v="13"/>
    <s v="SNP"/>
    <x v="0"/>
    <x v="0"/>
    <n v="0"/>
    <s v="APPR"/>
    <x v="1"/>
    <m/>
    <s v="Total"/>
    <x v="0"/>
    <m/>
    <s v="10555"/>
    <s v="002"/>
    <s v="Resolved"/>
    <n v="0.47"/>
    <n v="438"/>
    <n v="205.86"/>
    <n v="46268.655147939811"/>
    <s v="60 percent or over"/>
  </r>
  <r>
    <n v="1000004368"/>
    <s v="Hennepin Cty Dept of Community Corrections &amp; Rehabilitation"/>
    <x v="13"/>
    <x v="13"/>
    <s v="SNP"/>
    <x v="0"/>
    <x v="0"/>
    <n v="0"/>
    <s v="APPR"/>
    <x v="1"/>
    <m/>
    <s v="Free"/>
    <x v="1"/>
    <m/>
    <s v="S6201"/>
    <s v=" "/>
    <s v="Resolved"/>
    <n v="0.125"/>
    <n v="438"/>
    <n v="54.75"/>
    <n v="46268.655147939811"/>
    <s v="MN-FSM"/>
  </r>
  <r>
    <n v="1000003806"/>
    <s v="Hill City ISD #2"/>
    <x v="14"/>
    <x v="14"/>
    <s v="SNP"/>
    <x v="0"/>
    <x v="0"/>
    <n v="0"/>
    <s v="APPR"/>
    <x v="0"/>
    <m/>
    <s v="Free"/>
    <x v="0"/>
    <m/>
    <s v="10553"/>
    <s v=" "/>
    <s v="Resolved"/>
    <n v="3.05"/>
    <n v="10"/>
    <n v="30.5"/>
    <n v="46268.655147939811"/>
    <s v="Severe need"/>
  </r>
  <r>
    <n v="1000003806"/>
    <s v="Hill City ISD #2"/>
    <x v="14"/>
    <x v="14"/>
    <s v="SNP"/>
    <x v="0"/>
    <x v="0"/>
    <n v="0"/>
    <s v="APPR"/>
    <x v="0"/>
    <m/>
    <s v="Reduced"/>
    <x v="0"/>
    <m/>
    <s v="10553"/>
    <s v=" "/>
    <s v="Resolved"/>
    <n v="2.75"/>
    <n v="4"/>
    <n v="11"/>
    <n v="46268.655147939811"/>
    <s v="Severe need"/>
  </r>
  <r>
    <n v="1000003806"/>
    <s v="Hill City ISD #2"/>
    <x v="14"/>
    <x v="14"/>
    <s v="SNP"/>
    <x v="0"/>
    <x v="0"/>
    <n v="0"/>
    <s v="APPR"/>
    <x v="0"/>
    <m/>
    <s v="Regular"/>
    <x v="0"/>
    <m/>
    <s v="10553"/>
    <s v=" "/>
    <s v="Resolved"/>
    <n v="0.42"/>
    <n v="2"/>
    <n v="0.84"/>
    <n v="46268.655147939811"/>
    <s v="Severe need"/>
  </r>
  <r>
    <n v="1000003806"/>
    <s v="Hill City ISD #2"/>
    <x v="14"/>
    <x v="14"/>
    <s v="SNP"/>
    <x v="0"/>
    <x v="0"/>
    <n v="0"/>
    <s v="APPR"/>
    <x v="1"/>
    <m/>
    <s v="Free"/>
    <x v="0"/>
    <m/>
    <s v="10555"/>
    <s v="004"/>
    <s v="Resolved"/>
    <n v="4.3099999999999996"/>
    <n v="14"/>
    <n v="60.34"/>
    <n v="46268.655147939811"/>
    <s v="Less than 60 percent"/>
  </r>
  <r>
    <n v="1000003806"/>
    <s v="Hill City ISD #2"/>
    <x v="14"/>
    <x v="14"/>
    <s v="SNP"/>
    <x v="0"/>
    <x v="0"/>
    <n v="0"/>
    <s v="APPR"/>
    <x v="1"/>
    <m/>
    <s v="HHFKA"/>
    <x v="0"/>
    <m/>
    <s v="10555"/>
    <s v="006"/>
    <s v="Resolved"/>
    <n v="0.09"/>
    <n v="20"/>
    <n v="1.8"/>
    <n v="46268.655147939811"/>
    <s v="Qualified"/>
  </r>
  <r>
    <n v="1000003806"/>
    <s v="Hill City ISD #2"/>
    <x v="14"/>
    <x v="14"/>
    <s v="SNP"/>
    <x v="0"/>
    <x v="0"/>
    <n v="0"/>
    <s v="APPR"/>
    <x v="1"/>
    <m/>
    <s v="Reduced"/>
    <x v="0"/>
    <m/>
    <s v="10555"/>
    <s v="004"/>
    <s v="Resolved"/>
    <n v="3.91"/>
    <n v="4"/>
    <n v="15.64"/>
    <n v="46268.655147939811"/>
    <s v="Less than 60 percent"/>
  </r>
  <r>
    <n v="1000003806"/>
    <s v="Hill City ISD #2"/>
    <x v="14"/>
    <x v="14"/>
    <s v="SNP"/>
    <x v="0"/>
    <x v="0"/>
    <n v="0"/>
    <s v="APPR"/>
    <x v="1"/>
    <m/>
    <s v="Total"/>
    <x v="0"/>
    <m/>
    <s v="10555"/>
    <s v="002"/>
    <s v="Resolved"/>
    <n v="0.45"/>
    <n v="20"/>
    <n v="9"/>
    <n v="46268.655147939811"/>
    <s v="Less than 60 percent"/>
  </r>
  <r>
    <n v="1000003806"/>
    <s v="Hill City ISD #2"/>
    <x v="14"/>
    <x v="14"/>
    <s v="SNP"/>
    <x v="0"/>
    <x v="0"/>
    <n v="0"/>
    <s v="APPR"/>
    <x v="0"/>
    <m/>
    <s v="Reduced"/>
    <x v="1"/>
    <m/>
    <s v="S6210"/>
    <s v=" "/>
    <s v="Resolved"/>
    <n v="0.3"/>
    <n v="4"/>
    <n v="1.2"/>
    <n v="46268.655147939811"/>
    <s v="MN-FSM"/>
  </r>
  <r>
    <n v="1000003806"/>
    <s v="Hill City ISD #2"/>
    <x v="14"/>
    <x v="14"/>
    <s v="SNP"/>
    <x v="0"/>
    <x v="0"/>
    <n v="0"/>
    <s v="APPR"/>
    <x v="0"/>
    <m/>
    <s v="Regular"/>
    <x v="1"/>
    <m/>
    <s v="S6210"/>
    <s v=" "/>
    <s v="Resolved"/>
    <n v="2.63"/>
    <n v="2"/>
    <n v="5.26"/>
    <n v="46268.655147939811"/>
    <s v="MN-FSM Severe Need"/>
  </r>
  <r>
    <n v="1000003806"/>
    <s v="Hill City ISD #2"/>
    <x v="14"/>
    <x v="14"/>
    <s v="SNP"/>
    <x v="0"/>
    <x v="0"/>
    <n v="0"/>
    <s v="APPR"/>
    <x v="1"/>
    <m/>
    <s v="Free"/>
    <x v="1"/>
    <m/>
    <s v="S6201"/>
    <s v=" "/>
    <s v="Resolved"/>
    <n v="0.125"/>
    <n v="14"/>
    <n v="1.75"/>
    <n v="46268.655147939811"/>
    <s v="MN-FSM"/>
  </r>
  <r>
    <n v="1000003806"/>
    <s v="Hill City ISD #2"/>
    <x v="14"/>
    <x v="14"/>
    <s v="SNP"/>
    <x v="0"/>
    <x v="0"/>
    <n v="0"/>
    <s v="APPR"/>
    <x v="1"/>
    <m/>
    <s v="Reduced"/>
    <x v="1"/>
    <m/>
    <s v="S6201"/>
    <s v=" "/>
    <s v="Resolved"/>
    <n v="0.52500000000000002"/>
    <n v="4"/>
    <n v="2.1"/>
    <n v="46268.655147939811"/>
    <s v="MN-FSM"/>
  </r>
  <r>
    <n v="1000003806"/>
    <s v="Hill City ISD #2"/>
    <x v="14"/>
    <x v="14"/>
    <s v="SNP"/>
    <x v="0"/>
    <x v="0"/>
    <n v="0"/>
    <s v="APPR"/>
    <x v="1"/>
    <m/>
    <s v="Regular"/>
    <x v="1"/>
    <m/>
    <s v="S6201"/>
    <s v=" "/>
    <s v="Resolved"/>
    <n v="4.4349999999999996"/>
    <n v="2"/>
    <n v="8.8699999999999992"/>
    <n v="46268.655147939811"/>
    <s v="MN-FSM"/>
  </r>
  <r>
    <n v="1000003878"/>
    <s v="Hopkins Golden Valley ISD #270"/>
    <x v="15"/>
    <x v="15"/>
    <s v="SNP"/>
    <x v="0"/>
    <x v="0"/>
    <n v="0"/>
    <s v="APPR"/>
    <x v="0"/>
    <m/>
    <s v="Free"/>
    <x v="0"/>
    <m/>
    <s v="10553"/>
    <s v=" "/>
    <s v="Resolved"/>
    <n v="3.05"/>
    <n v="42"/>
    <n v="128.1"/>
    <n v="46268.655147939811"/>
    <s v="Severe need"/>
  </r>
  <r>
    <n v="1000003878"/>
    <s v="Hopkins Golden Valley ISD #270"/>
    <x v="15"/>
    <x v="15"/>
    <s v="SNP"/>
    <x v="0"/>
    <x v="0"/>
    <n v="0"/>
    <s v="APPR"/>
    <x v="0"/>
    <m/>
    <s v="Reduced"/>
    <x v="0"/>
    <m/>
    <s v="10553"/>
    <s v=" "/>
    <s v="Resolved"/>
    <n v="2.75"/>
    <n v="7"/>
    <n v="19.25"/>
    <n v="46268.655147939811"/>
    <s v="Severe need"/>
  </r>
  <r>
    <n v="1000003878"/>
    <s v="Hopkins Golden Valley ISD #270"/>
    <x v="15"/>
    <x v="15"/>
    <s v="SNP"/>
    <x v="0"/>
    <x v="0"/>
    <n v="0"/>
    <s v="APPR"/>
    <x v="0"/>
    <m/>
    <s v="Regular"/>
    <x v="0"/>
    <m/>
    <s v="10553"/>
    <s v=" "/>
    <s v="Resolved"/>
    <n v="0.42"/>
    <n v="19"/>
    <n v="7.98"/>
    <n v="46268.655147939811"/>
    <s v="Severe need"/>
  </r>
  <r>
    <n v="1000003878"/>
    <s v="Hopkins Golden Valley ISD #270"/>
    <x v="15"/>
    <x v="15"/>
    <s v="SNP"/>
    <x v="0"/>
    <x v="0"/>
    <n v="0"/>
    <s v="APPR"/>
    <x v="1"/>
    <m/>
    <s v="Free"/>
    <x v="0"/>
    <m/>
    <s v="10555"/>
    <s v="004"/>
    <s v="Resolved"/>
    <n v="4.3099999999999996"/>
    <n v="44"/>
    <n v="189.64"/>
    <n v="46268.655147939811"/>
    <s v="Less than 60 percent"/>
  </r>
  <r>
    <n v="1000003878"/>
    <s v="Hopkins Golden Valley ISD #270"/>
    <x v="15"/>
    <x v="15"/>
    <s v="SNP"/>
    <x v="0"/>
    <x v="0"/>
    <n v="0"/>
    <s v="APPR"/>
    <x v="1"/>
    <m/>
    <s v="HHFKA"/>
    <x v="0"/>
    <m/>
    <s v="10555"/>
    <s v="006"/>
    <s v="Resolved"/>
    <n v="0.09"/>
    <n v="71"/>
    <n v="6.39"/>
    <n v="46268.655147939811"/>
    <s v="Qualified"/>
  </r>
  <r>
    <n v="1000003878"/>
    <s v="Hopkins Golden Valley ISD #270"/>
    <x v="15"/>
    <x v="15"/>
    <s v="SNP"/>
    <x v="0"/>
    <x v="0"/>
    <n v="0"/>
    <s v="APPR"/>
    <x v="1"/>
    <m/>
    <s v="Reduced"/>
    <x v="0"/>
    <m/>
    <s v="10555"/>
    <s v="004"/>
    <s v="Resolved"/>
    <n v="3.91"/>
    <n v="7"/>
    <n v="27.37"/>
    <n v="46268.655147939811"/>
    <s v="Less than 60 percent"/>
  </r>
  <r>
    <n v="1000003878"/>
    <s v="Hopkins Golden Valley ISD #270"/>
    <x v="15"/>
    <x v="15"/>
    <s v="SNP"/>
    <x v="0"/>
    <x v="0"/>
    <n v="0"/>
    <s v="APPR"/>
    <x v="1"/>
    <m/>
    <s v="Total"/>
    <x v="0"/>
    <m/>
    <s v="10555"/>
    <s v="002"/>
    <s v="Resolved"/>
    <n v="0.45"/>
    <n v="71"/>
    <n v="31.95"/>
    <n v="46268.655147939811"/>
    <s v="Less than 60 percent"/>
  </r>
  <r>
    <n v="1000003878"/>
    <s v="Hopkins Golden Valley ISD #270"/>
    <x v="15"/>
    <x v="15"/>
    <s v="SNP"/>
    <x v="0"/>
    <x v="0"/>
    <n v="0"/>
    <s v="APPR"/>
    <x v="0"/>
    <m/>
    <s v="Reduced"/>
    <x v="1"/>
    <m/>
    <s v="S6210"/>
    <s v=" "/>
    <s v="Resolved"/>
    <n v="0.3"/>
    <n v="7"/>
    <n v="2.1"/>
    <n v="46268.655147939811"/>
    <s v="MN-FSM"/>
  </r>
  <r>
    <n v="1000003878"/>
    <s v="Hopkins Golden Valley ISD #270"/>
    <x v="15"/>
    <x v="15"/>
    <s v="SNP"/>
    <x v="0"/>
    <x v="0"/>
    <n v="0"/>
    <s v="APPR"/>
    <x v="0"/>
    <m/>
    <s v="Regular"/>
    <x v="1"/>
    <m/>
    <s v="S6210"/>
    <s v=" "/>
    <s v="Resolved"/>
    <n v="2.63"/>
    <n v="19"/>
    <n v="49.97"/>
    <n v="46268.655147939811"/>
    <s v="MN-FSM Severe Need"/>
  </r>
  <r>
    <n v="1000003878"/>
    <s v="Hopkins Golden Valley ISD #270"/>
    <x v="15"/>
    <x v="15"/>
    <s v="SNP"/>
    <x v="0"/>
    <x v="0"/>
    <n v="0"/>
    <s v="APPR"/>
    <x v="1"/>
    <m/>
    <s v="Free"/>
    <x v="1"/>
    <m/>
    <s v="S6201"/>
    <s v=" "/>
    <s v="Resolved"/>
    <n v="0.125"/>
    <n v="44"/>
    <n v="5.5"/>
    <n v="46268.655147939811"/>
    <s v="MN-FSM"/>
  </r>
  <r>
    <n v="1000003878"/>
    <s v="Hopkins Golden Valley ISD #270"/>
    <x v="15"/>
    <x v="15"/>
    <s v="SNP"/>
    <x v="0"/>
    <x v="0"/>
    <n v="0"/>
    <s v="APPR"/>
    <x v="1"/>
    <m/>
    <s v="Reduced"/>
    <x v="1"/>
    <m/>
    <s v="S6201"/>
    <s v=" "/>
    <s v="Resolved"/>
    <n v="0.52500000000000002"/>
    <n v="7"/>
    <n v="3.67"/>
    <n v="46268.655147939811"/>
    <s v="MN-FSM"/>
  </r>
  <r>
    <n v="1000003878"/>
    <s v="Hopkins Golden Valley ISD #270"/>
    <x v="15"/>
    <x v="15"/>
    <s v="SNP"/>
    <x v="0"/>
    <x v="0"/>
    <n v="0"/>
    <s v="APPR"/>
    <x v="1"/>
    <m/>
    <s v="Regular"/>
    <x v="1"/>
    <m/>
    <s v="S6201"/>
    <s v=" "/>
    <s v="Resolved"/>
    <n v="4.4349999999999996"/>
    <n v="20"/>
    <n v="88.7"/>
    <n v="46268.655147939811"/>
    <s v="MN-FSM"/>
  </r>
  <r>
    <n v="1000004357"/>
    <s v="Leo A Hoffmann Center"/>
    <x v="16"/>
    <x v="16"/>
    <s v="SNP"/>
    <x v="0"/>
    <x v="0"/>
    <n v="0"/>
    <s v="APPR"/>
    <x v="0"/>
    <m/>
    <s v="Free"/>
    <x v="0"/>
    <m/>
    <s v="10553"/>
    <s v=" "/>
    <s v="Resolved"/>
    <n v="3.05"/>
    <n v="628"/>
    <n v="1915.4"/>
    <n v="46268.655147939811"/>
    <s v="Severe need"/>
  </r>
  <r>
    <n v="1000004357"/>
    <s v="Leo A Hoffmann Center"/>
    <x v="16"/>
    <x v="16"/>
    <s v="SNP"/>
    <x v="0"/>
    <x v="0"/>
    <n v="0"/>
    <s v="APPR"/>
    <x v="1"/>
    <m/>
    <s v="Free"/>
    <x v="0"/>
    <m/>
    <s v="10555"/>
    <s v="004"/>
    <s v="Resolved"/>
    <n v="4.3099999999999996"/>
    <n v="618"/>
    <n v="2663.58"/>
    <n v="46268.655147939811"/>
    <s v="60 percent or over"/>
  </r>
  <r>
    <n v="1000004357"/>
    <s v="Leo A Hoffmann Center"/>
    <x v="16"/>
    <x v="16"/>
    <s v="SNP"/>
    <x v="0"/>
    <x v="0"/>
    <n v="0"/>
    <s v="APPR"/>
    <x v="1"/>
    <m/>
    <s v="HHFKA"/>
    <x v="0"/>
    <m/>
    <s v="10555"/>
    <s v="006"/>
    <s v="Resolved"/>
    <n v="0.09"/>
    <n v="618"/>
    <n v="55.62"/>
    <n v="46268.655147939811"/>
    <s v="Qualified"/>
  </r>
  <r>
    <n v="1000004357"/>
    <s v="Leo A Hoffmann Center"/>
    <x v="16"/>
    <x v="16"/>
    <s v="SNP"/>
    <x v="0"/>
    <x v="0"/>
    <n v="0"/>
    <s v="APPR"/>
    <x v="1"/>
    <m/>
    <s v="Total"/>
    <x v="0"/>
    <m/>
    <s v="10555"/>
    <s v="002"/>
    <s v="Resolved"/>
    <n v="0.47"/>
    <n v="618"/>
    <n v="290.45999999999998"/>
    <n v="46268.655147939811"/>
    <s v="60 percent or over"/>
  </r>
  <r>
    <n v="1000004357"/>
    <s v="Leo A Hoffmann Center"/>
    <x v="16"/>
    <x v="16"/>
    <s v="SNP"/>
    <x v="0"/>
    <x v="0"/>
    <n v="0"/>
    <s v="APPR"/>
    <x v="1"/>
    <m/>
    <s v="Free"/>
    <x v="1"/>
    <m/>
    <s v="S6201"/>
    <s v=" "/>
    <s v="Resolved"/>
    <n v="0.125"/>
    <n v="618"/>
    <n v="77.25"/>
    <n v="46268.655147939811"/>
    <s v="MN-FSM"/>
  </r>
  <r>
    <n v="1000004135"/>
    <s v="Metro Deaf School"/>
    <x v="17"/>
    <x v="17"/>
    <s v="SNP"/>
    <x v="0"/>
    <x v="0"/>
    <n v="0"/>
    <s v="APPR"/>
    <x v="0"/>
    <m/>
    <s v="Free"/>
    <x v="0"/>
    <m/>
    <s v="10553"/>
    <s v=" "/>
    <s v="Resolved"/>
    <n v="3.05"/>
    <n v="51"/>
    <n v="155.55000000000001"/>
    <n v="46268.655147939811"/>
    <s v="Severe need"/>
  </r>
  <r>
    <n v="1000004135"/>
    <s v="Metro Deaf School"/>
    <x v="17"/>
    <x v="17"/>
    <s v="SNP"/>
    <x v="0"/>
    <x v="0"/>
    <n v="0"/>
    <s v="APPR"/>
    <x v="0"/>
    <m/>
    <s v="Reduced"/>
    <x v="0"/>
    <m/>
    <s v="10553"/>
    <s v=" "/>
    <s v="Resolved"/>
    <n v="2.75"/>
    <n v="21"/>
    <n v="57.75"/>
    <n v="46268.655147939811"/>
    <s v="Severe need"/>
  </r>
  <r>
    <n v="1000004135"/>
    <s v="Metro Deaf School"/>
    <x v="17"/>
    <x v="17"/>
    <s v="SNP"/>
    <x v="0"/>
    <x v="0"/>
    <n v="0"/>
    <s v="APPR"/>
    <x v="0"/>
    <m/>
    <s v="Regular"/>
    <x v="0"/>
    <m/>
    <s v="10553"/>
    <s v=" "/>
    <s v="Resolved"/>
    <n v="0.42"/>
    <n v="147"/>
    <n v="61.74"/>
    <n v="46268.655147939811"/>
    <s v="Severe need"/>
  </r>
  <r>
    <n v="1000004135"/>
    <s v="Metro Deaf School"/>
    <x v="17"/>
    <x v="17"/>
    <s v="SNP"/>
    <x v="0"/>
    <x v="0"/>
    <n v="0"/>
    <s v="APPR"/>
    <x v="1"/>
    <m/>
    <s v="Free"/>
    <x v="0"/>
    <m/>
    <s v="10555"/>
    <s v="004"/>
    <s v="Resolved"/>
    <n v="4.3099999999999996"/>
    <n v="118"/>
    <n v="508.58"/>
    <n v="46268.655147939811"/>
    <s v="Less than 60 percent"/>
  </r>
  <r>
    <n v="1000004135"/>
    <s v="Metro Deaf School"/>
    <x v="17"/>
    <x v="17"/>
    <s v="SNP"/>
    <x v="0"/>
    <x v="0"/>
    <n v="0"/>
    <s v="APPR"/>
    <x v="1"/>
    <m/>
    <s v="HHFKA"/>
    <x v="0"/>
    <m/>
    <s v="10555"/>
    <s v="006"/>
    <s v="Resolved"/>
    <n v="0.09"/>
    <n v="366"/>
    <n v="32.94"/>
    <n v="46268.655147939811"/>
    <s v="Qualified"/>
  </r>
  <r>
    <n v="1000004135"/>
    <s v="Metro Deaf School"/>
    <x v="17"/>
    <x v="17"/>
    <s v="SNP"/>
    <x v="0"/>
    <x v="0"/>
    <n v="0"/>
    <s v="APPR"/>
    <x v="1"/>
    <m/>
    <s v="Reduced"/>
    <x v="0"/>
    <m/>
    <s v="10555"/>
    <s v="004"/>
    <s v="Resolved"/>
    <n v="3.91"/>
    <n v="40"/>
    <n v="156.4"/>
    <n v="46268.655147939811"/>
    <s v="Less than 60 percent"/>
  </r>
  <r>
    <n v="1000004135"/>
    <s v="Metro Deaf School"/>
    <x v="17"/>
    <x v="17"/>
    <s v="SNP"/>
    <x v="0"/>
    <x v="0"/>
    <n v="0"/>
    <s v="APPR"/>
    <x v="1"/>
    <m/>
    <s v="Total"/>
    <x v="0"/>
    <m/>
    <s v="10555"/>
    <s v="002"/>
    <s v="Resolved"/>
    <n v="0.45"/>
    <n v="366"/>
    <n v="164.7"/>
    <n v="46268.655147939811"/>
    <s v="Less than 60 percent"/>
  </r>
  <r>
    <n v="1000004135"/>
    <s v="Metro Deaf School"/>
    <x v="17"/>
    <x v="17"/>
    <s v="SNP"/>
    <x v="0"/>
    <x v="0"/>
    <n v="0"/>
    <s v="APPR"/>
    <x v="0"/>
    <m/>
    <s v="Reduced"/>
    <x v="1"/>
    <m/>
    <s v="S6210"/>
    <s v=" "/>
    <s v="Resolved"/>
    <n v="0.3"/>
    <n v="21"/>
    <n v="6.3"/>
    <n v="46268.655147939811"/>
    <s v="MN-FSM"/>
  </r>
  <r>
    <n v="1000004135"/>
    <s v="Metro Deaf School"/>
    <x v="17"/>
    <x v="17"/>
    <s v="SNP"/>
    <x v="0"/>
    <x v="0"/>
    <n v="0"/>
    <s v="APPR"/>
    <x v="0"/>
    <m/>
    <s v="Regular"/>
    <x v="1"/>
    <m/>
    <s v="S6210"/>
    <s v=" "/>
    <s v="Resolved"/>
    <n v="2.63"/>
    <n v="147"/>
    <n v="386.61"/>
    <n v="46268.655147939811"/>
    <s v="MN-FSM Severe Need"/>
  </r>
  <r>
    <n v="1000004135"/>
    <s v="Metro Deaf School"/>
    <x v="17"/>
    <x v="17"/>
    <s v="SNP"/>
    <x v="0"/>
    <x v="0"/>
    <n v="0"/>
    <s v="APPR"/>
    <x v="0"/>
    <s v="Kindergarten"/>
    <s v="Regular"/>
    <x v="1"/>
    <m/>
    <s v="S6210"/>
    <s v=" "/>
    <s v="Resolved"/>
    <n v="0"/>
    <n v="11"/>
    <n v="0"/>
    <n v="46268.655147939811"/>
    <s v="MN-FSM Kindergarten"/>
  </r>
  <r>
    <n v="1000004135"/>
    <s v="Metro Deaf School"/>
    <x v="17"/>
    <x v="17"/>
    <s v="SNP"/>
    <x v="0"/>
    <x v="0"/>
    <n v="0"/>
    <s v="APPR"/>
    <x v="1"/>
    <m/>
    <s v="Free"/>
    <x v="1"/>
    <m/>
    <s v="S6201"/>
    <s v=" "/>
    <s v="Resolved"/>
    <n v="0.125"/>
    <n v="118"/>
    <n v="14.75"/>
    <n v="46268.655147939811"/>
    <s v="MN-FSM"/>
  </r>
  <r>
    <n v="1000004135"/>
    <s v="Metro Deaf School"/>
    <x v="17"/>
    <x v="17"/>
    <s v="SNP"/>
    <x v="0"/>
    <x v="0"/>
    <n v="0"/>
    <s v="APPR"/>
    <x v="1"/>
    <m/>
    <s v="Reduced"/>
    <x v="1"/>
    <m/>
    <s v="S6201"/>
    <s v=" "/>
    <s v="Resolved"/>
    <n v="0.52500000000000002"/>
    <n v="40"/>
    <n v="21"/>
    <n v="46268.655147939811"/>
    <s v="MN-FSM"/>
  </r>
  <r>
    <n v="1000004135"/>
    <s v="Metro Deaf School"/>
    <x v="17"/>
    <x v="17"/>
    <s v="SNP"/>
    <x v="0"/>
    <x v="0"/>
    <n v="0"/>
    <s v="APPR"/>
    <x v="1"/>
    <m/>
    <s v="Regular"/>
    <x v="1"/>
    <m/>
    <s v="S6201"/>
    <s v=" "/>
    <s v="Resolved"/>
    <n v="4.4349999999999996"/>
    <n v="208"/>
    <n v="922.48"/>
    <n v="46268.655147939811"/>
    <s v="MN-FSM"/>
  </r>
  <r>
    <n v="1000004384"/>
    <s v="Minnesota State Academies for the Deaf &amp; Blind"/>
    <x v="18"/>
    <x v="18"/>
    <s v="SNP"/>
    <x v="0"/>
    <x v="0"/>
    <n v="0"/>
    <s v="APPR"/>
    <x v="0"/>
    <m/>
    <s v="Free"/>
    <x v="0"/>
    <m/>
    <s v="10553"/>
    <s v=" "/>
    <s v="Resolved"/>
    <n v="3.05"/>
    <n v="322"/>
    <n v="982.1"/>
    <n v="46268.655147939811"/>
    <s v="Severe need"/>
  </r>
  <r>
    <n v="1000004384"/>
    <s v="Minnesota State Academies for the Deaf &amp; Blind"/>
    <x v="18"/>
    <x v="18"/>
    <s v="SNP"/>
    <x v="0"/>
    <x v="0"/>
    <n v="0"/>
    <s v="APPR"/>
    <x v="0"/>
    <m/>
    <s v="Reduced"/>
    <x v="0"/>
    <m/>
    <s v="10553"/>
    <s v=" "/>
    <s v="Resolved"/>
    <n v="2.75"/>
    <n v="10"/>
    <n v="27.5"/>
    <n v="46268.655147939811"/>
    <s v="Severe need"/>
  </r>
  <r>
    <n v="1000004384"/>
    <s v="Minnesota State Academies for the Deaf &amp; Blind"/>
    <x v="18"/>
    <x v="18"/>
    <s v="SNP"/>
    <x v="0"/>
    <x v="0"/>
    <n v="0"/>
    <s v="APPR"/>
    <x v="0"/>
    <m/>
    <s v="Regular"/>
    <x v="0"/>
    <m/>
    <s v="10553"/>
    <s v=" "/>
    <s v="Resolved"/>
    <n v="0.42"/>
    <n v="94"/>
    <n v="39.479999999999997"/>
    <n v="46268.655147939811"/>
    <s v="Severe need"/>
  </r>
  <r>
    <n v="1000004384"/>
    <s v="Minnesota State Academies for the Deaf &amp; Blind"/>
    <x v="18"/>
    <x v="18"/>
    <s v="SNP"/>
    <x v="0"/>
    <x v="0"/>
    <n v="0"/>
    <s v="APPR"/>
    <x v="1"/>
    <m/>
    <s v="Free"/>
    <x v="0"/>
    <m/>
    <s v="10555"/>
    <s v="004"/>
    <s v="Resolved"/>
    <n v="4.3099999999999996"/>
    <n v="383"/>
    <n v="1650.73"/>
    <n v="46268.655147939811"/>
    <s v="60 percent or over"/>
  </r>
  <r>
    <n v="1000004384"/>
    <s v="Minnesota State Academies for the Deaf &amp; Blind"/>
    <x v="18"/>
    <x v="18"/>
    <s v="SNP"/>
    <x v="0"/>
    <x v="0"/>
    <n v="0"/>
    <s v="APPR"/>
    <x v="1"/>
    <m/>
    <s v="HHFKA"/>
    <x v="0"/>
    <m/>
    <s v="10555"/>
    <s v="006"/>
    <s v="Resolved"/>
    <n v="0.09"/>
    <n v="551"/>
    <n v="49.59"/>
    <n v="46268.655147939811"/>
    <s v="Qualified"/>
  </r>
  <r>
    <n v="1000004384"/>
    <s v="Minnesota State Academies for the Deaf &amp; Blind"/>
    <x v="18"/>
    <x v="18"/>
    <s v="SNP"/>
    <x v="0"/>
    <x v="0"/>
    <n v="0"/>
    <s v="APPR"/>
    <x v="1"/>
    <m/>
    <s v="Reduced"/>
    <x v="0"/>
    <m/>
    <s v="10555"/>
    <s v="004"/>
    <s v="Resolved"/>
    <n v="3.91"/>
    <n v="10"/>
    <n v="39.1"/>
    <n v="46268.655147939811"/>
    <s v="60 percent or over"/>
  </r>
  <r>
    <n v="1000004384"/>
    <s v="Minnesota State Academies for the Deaf &amp; Blind"/>
    <x v="18"/>
    <x v="18"/>
    <s v="SNP"/>
    <x v="0"/>
    <x v="0"/>
    <n v="0"/>
    <s v="APPR"/>
    <x v="1"/>
    <m/>
    <s v="Total"/>
    <x v="0"/>
    <m/>
    <s v="10555"/>
    <s v="002"/>
    <s v="Resolved"/>
    <n v="0.47"/>
    <n v="551"/>
    <n v="258.97000000000003"/>
    <n v="46268.655147939811"/>
    <s v="60 percent or over"/>
  </r>
  <r>
    <n v="1000004384"/>
    <s v="Minnesota State Academies for the Deaf &amp; Blind"/>
    <x v="18"/>
    <x v="18"/>
    <s v="SNP"/>
    <x v="0"/>
    <x v="0"/>
    <n v="0"/>
    <s v="APPR"/>
    <x v="0"/>
    <m/>
    <s v="Reduced"/>
    <x v="1"/>
    <m/>
    <s v="S6210"/>
    <s v=" "/>
    <s v="Resolved"/>
    <n v="0.3"/>
    <n v="10"/>
    <n v="3"/>
    <n v="46268.655147939811"/>
    <s v="MN-FSM"/>
  </r>
  <r>
    <n v="1000004384"/>
    <s v="Minnesota State Academies for the Deaf &amp; Blind"/>
    <x v="18"/>
    <x v="18"/>
    <s v="SNP"/>
    <x v="0"/>
    <x v="0"/>
    <n v="0"/>
    <s v="APPR"/>
    <x v="0"/>
    <m/>
    <s v="Regular"/>
    <x v="1"/>
    <m/>
    <s v="S6210"/>
    <s v=" "/>
    <s v="Resolved"/>
    <n v="2.63"/>
    <n v="94"/>
    <n v="247.22"/>
    <n v="46268.655147939811"/>
    <s v="MN-FSM Severe Need"/>
  </r>
  <r>
    <n v="1000004384"/>
    <s v="Minnesota State Academies for the Deaf &amp; Blind"/>
    <x v="18"/>
    <x v="18"/>
    <s v="SNP"/>
    <x v="0"/>
    <x v="0"/>
    <n v="0"/>
    <s v="APPR"/>
    <x v="1"/>
    <m/>
    <s v="Free"/>
    <x v="1"/>
    <m/>
    <s v="S6201"/>
    <s v=" "/>
    <s v="Resolved"/>
    <n v="0.125"/>
    <n v="383"/>
    <n v="47.87"/>
    <n v="46268.655147939811"/>
    <s v="MN-FSM"/>
  </r>
  <r>
    <n v="1000004384"/>
    <s v="Minnesota State Academies for the Deaf &amp; Blind"/>
    <x v="18"/>
    <x v="18"/>
    <s v="SNP"/>
    <x v="0"/>
    <x v="0"/>
    <n v="0"/>
    <s v="APPR"/>
    <x v="1"/>
    <m/>
    <s v="Reduced"/>
    <x v="1"/>
    <m/>
    <s v="S6201"/>
    <s v=" "/>
    <s v="Resolved"/>
    <n v="0.52500000000000002"/>
    <n v="10"/>
    <n v="5.25"/>
    <n v="46268.655147939811"/>
    <s v="MN-FSM"/>
  </r>
  <r>
    <n v="1000004384"/>
    <s v="Minnesota State Academies for the Deaf &amp; Blind"/>
    <x v="18"/>
    <x v="18"/>
    <s v="SNP"/>
    <x v="0"/>
    <x v="0"/>
    <n v="0"/>
    <s v="APPR"/>
    <x v="1"/>
    <m/>
    <s v="Regular"/>
    <x v="1"/>
    <m/>
    <s v="S6201"/>
    <s v=" "/>
    <s v="Resolved"/>
    <n v="4.4349999999999996"/>
    <n v="158"/>
    <n v="700.73"/>
    <n v="46268.655147939811"/>
    <s v="MN-FSM"/>
  </r>
  <r>
    <n v="1000004384"/>
    <s v="Minnesota State Academies for the Deaf &amp; Blind"/>
    <x v="19"/>
    <x v="19"/>
    <s v="SNP"/>
    <x v="0"/>
    <x v="0"/>
    <n v="0"/>
    <s v="APPR"/>
    <x v="0"/>
    <m/>
    <s v="Free"/>
    <x v="0"/>
    <m/>
    <s v="10553"/>
    <s v=" "/>
    <s v="Resolved"/>
    <n v="3.05"/>
    <n v="271"/>
    <n v="826.55"/>
    <n v="46268.655147939811"/>
    <s v="Severe need"/>
  </r>
  <r>
    <n v="1000004384"/>
    <s v="Minnesota State Academies for the Deaf &amp; Blind"/>
    <x v="19"/>
    <x v="19"/>
    <s v="SNP"/>
    <x v="0"/>
    <x v="0"/>
    <n v="0"/>
    <s v="APPR"/>
    <x v="0"/>
    <m/>
    <s v="Regular"/>
    <x v="0"/>
    <m/>
    <s v="10553"/>
    <s v=" "/>
    <s v="Resolved"/>
    <n v="0.42"/>
    <n v="105"/>
    <n v="44.1"/>
    <n v="46268.655147939811"/>
    <s v="Severe need"/>
  </r>
  <r>
    <n v="1000004384"/>
    <s v="Minnesota State Academies for the Deaf &amp; Blind"/>
    <x v="19"/>
    <x v="19"/>
    <s v="SNP"/>
    <x v="0"/>
    <x v="0"/>
    <n v="0"/>
    <s v="APPR"/>
    <x v="1"/>
    <m/>
    <s v="Free"/>
    <x v="0"/>
    <m/>
    <s v="10555"/>
    <s v="004"/>
    <s v="Resolved"/>
    <n v="4.3099999999999996"/>
    <n v="362"/>
    <n v="1560.22"/>
    <n v="46268.655147939811"/>
    <s v="60 percent or over"/>
  </r>
  <r>
    <n v="1000004384"/>
    <s v="Minnesota State Academies for the Deaf &amp; Blind"/>
    <x v="19"/>
    <x v="19"/>
    <s v="SNP"/>
    <x v="0"/>
    <x v="0"/>
    <n v="0"/>
    <s v="APPR"/>
    <x v="1"/>
    <m/>
    <s v="HHFKA"/>
    <x v="0"/>
    <m/>
    <s v="10555"/>
    <s v="006"/>
    <s v="Resolved"/>
    <n v="0.09"/>
    <n v="624"/>
    <n v="56.16"/>
    <n v="46268.655147939811"/>
    <s v="Qualified"/>
  </r>
  <r>
    <n v="1000004384"/>
    <s v="Minnesota State Academies for the Deaf &amp; Blind"/>
    <x v="19"/>
    <x v="19"/>
    <s v="SNP"/>
    <x v="0"/>
    <x v="0"/>
    <n v="0"/>
    <s v="APPR"/>
    <x v="1"/>
    <m/>
    <s v="Reduced"/>
    <x v="0"/>
    <m/>
    <s v="10555"/>
    <s v="004"/>
    <s v="Resolved"/>
    <n v="3.91"/>
    <n v="24"/>
    <n v="93.84"/>
    <n v="46268.655147939811"/>
    <s v="60 percent or over"/>
  </r>
  <r>
    <n v="1000004384"/>
    <s v="Minnesota State Academies for the Deaf &amp; Blind"/>
    <x v="19"/>
    <x v="19"/>
    <s v="SNP"/>
    <x v="0"/>
    <x v="0"/>
    <n v="0"/>
    <s v="APPR"/>
    <x v="1"/>
    <m/>
    <s v="Total"/>
    <x v="0"/>
    <m/>
    <s v="10555"/>
    <s v="002"/>
    <s v="Resolved"/>
    <n v="0.47"/>
    <n v="624"/>
    <n v="293.27999999999997"/>
    <n v="46268.655147939811"/>
    <s v="60 percent or over"/>
  </r>
  <r>
    <n v="1000004384"/>
    <s v="Minnesota State Academies for the Deaf &amp; Blind"/>
    <x v="19"/>
    <x v="19"/>
    <s v="SNP"/>
    <x v="0"/>
    <x v="0"/>
    <n v="0"/>
    <s v="APPR"/>
    <x v="0"/>
    <m/>
    <s v="Regular"/>
    <x v="1"/>
    <m/>
    <s v="S6210"/>
    <s v=" "/>
    <s v="Resolved"/>
    <n v="2.63"/>
    <n v="105"/>
    <n v="276.14999999999998"/>
    <n v="46268.655147939811"/>
    <s v="MN-FSM Severe Need"/>
  </r>
  <r>
    <n v="1000004384"/>
    <s v="Minnesota State Academies for the Deaf &amp; Blind"/>
    <x v="19"/>
    <x v="19"/>
    <s v="SNP"/>
    <x v="0"/>
    <x v="0"/>
    <n v="0"/>
    <s v="APPR"/>
    <x v="1"/>
    <m/>
    <s v="Free"/>
    <x v="1"/>
    <m/>
    <s v="S6201"/>
    <s v=" "/>
    <s v="Resolved"/>
    <n v="0.125"/>
    <n v="362"/>
    <n v="45.25"/>
    <n v="46268.655147939811"/>
    <s v="MN-FSM"/>
  </r>
  <r>
    <n v="1000004384"/>
    <s v="Minnesota State Academies for the Deaf &amp; Blind"/>
    <x v="19"/>
    <x v="19"/>
    <s v="SNP"/>
    <x v="0"/>
    <x v="0"/>
    <n v="0"/>
    <s v="APPR"/>
    <x v="1"/>
    <m/>
    <s v="Reduced"/>
    <x v="1"/>
    <m/>
    <s v="S6201"/>
    <s v=" "/>
    <s v="Resolved"/>
    <n v="0.52500000000000002"/>
    <n v="24"/>
    <n v="12.6"/>
    <n v="46268.655147939811"/>
    <s v="MN-FSM"/>
  </r>
  <r>
    <n v="1000004384"/>
    <s v="Minnesota State Academies for the Deaf &amp; Blind"/>
    <x v="19"/>
    <x v="19"/>
    <s v="SNP"/>
    <x v="0"/>
    <x v="0"/>
    <n v="0"/>
    <s v="APPR"/>
    <x v="1"/>
    <m/>
    <s v="Regular"/>
    <x v="1"/>
    <m/>
    <s v="S6201"/>
    <s v=" "/>
    <s v="Resolved"/>
    <n v="4.4349999999999996"/>
    <n v="238"/>
    <n v="1055.53"/>
    <n v="46268.655147939811"/>
    <s v="MN-FSM"/>
  </r>
  <r>
    <n v="1000004360"/>
    <s v="MN Correctional Facility Red Wing"/>
    <x v="20"/>
    <x v="20"/>
    <s v="SNP"/>
    <x v="0"/>
    <x v="0"/>
    <n v="0"/>
    <s v="APPR"/>
    <x v="0"/>
    <m/>
    <s v="Free"/>
    <x v="0"/>
    <m/>
    <s v="10553"/>
    <s v=" "/>
    <s v="Resolved"/>
    <n v="3.05"/>
    <n v="1647"/>
    <n v="5023.3500000000004"/>
    <n v="46268.655147939811"/>
    <s v="Severe need"/>
  </r>
  <r>
    <n v="1000004360"/>
    <s v="MN Correctional Facility Red Wing"/>
    <x v="20"/>
    <x v="20"/>
    <s v="SNP"/>
    <x v="0"/>
    <x v="0"/>
    <n v="0"/>
    <s v="APPR"/>
    <x v="1"/>
    <m/>
    <s v="Free"/>
    <x v="0"/>
    <m/>
    <s v="10555"/>
    <s v="004"/>
    <s v="Resolved"/>
    <n v="4.3099999999999996"/>
    <n v="1644"/>
    <n v="7085.64"/>
    <n v="46268.655147939811"/>
    <s v="60 percent or over"/>
  </r>
  <r>
    <n v="1000004360"/>
    <s v="MN Correctional Facility Red Wing"/>
    <x v="20"/>
    <x v="20"/>
    <s v="SNP"/>
    <x v="0"/>
    <x v="0"/>
    <n v="0"/>
    <s v="APPR"/>
    <x v="1"/>
    <m/>
    <s v="HHFKA"/>
    <x v="0"/>
    <m/>
    <s v="10555"/>
    <s v="006"/>
    <s v="Resolved"/>
    <n v="0.09"/>
    <n v="1644"/>
    <n v="147.96"/>
    <n v="46268.655147939811"/>
    <s v="Qualified"/>
  </r>
  <r>
    <n v="1000004360"/>
    <s v="MN Correctional Facility Red Wing"/>
    <x v="20"/>
    <x v="20"/>
    <s v="SNP"/>
    <x v="0"/>
    <x v="0"/>
    <n v="0"/>
    <s v="APPR"/>
    <x v="1"/>
    <m/>
    <s v="Total"/>
    <x v="0"/>
    <m/>
    <s v="10555"/>
    <s v="002"/>
    <s v="Resolved"/>
    <n v="0.47"/>
    <n v="1644"/>
    <n v="772.68"/>
    <n v="46268.655147939811"/>
    <s v="60 percent or over"/>
  </r>
  <r>
    <n v="1000004360"/>
    <s v="MN Correctional Facility Red Wing"/>
    <x v="20"/>
    <x v="20"/>
    <s v="SNP"/>
    <x v="0"/>
    <x v="0"/>
    <n v="0"/>
    <s v="APPR"/>
    <x v="1"/>
    <m/>
    <s v="Free"/>
    <x v="1"/>
    <m/>
    <s v="S6201"/>
    <s v=" "/>
    <s v="Resolved"/>
    <n v="0.125"/>
    <n v="1644"/>
    <n v="205.5"/>
    <n v="46268.655147939811"/>
    <s v="MN-FSM"/>
  </r>
  <r>
    <n v="1000003724"/>
    <s v="Mounds View ISD #621"/>
    <x v="21"/>
    <x v="21"/>
    <s v="SNP"/>
    <x v="0"/>
    <x v="0"/>
    <n v="0"/>
    <s v="APPR"/>
    <x v="0"/>
    <m/>
    <s v="Free"/>
    <x v="0"/>
    <m/>
    <s v="10553"/>
    <s v=" "/>
    <s v="Resolved"/>
    <n v="2.54"/>
    <n v="102"/>
    <n v="259.08"/>
    <n v="46268.655147939811"/>
    <s v="Non-severe need"/>
  </r>
  <r>
    <n v="1000003724"/>
    <s v="Mounds View ISD #621"/>
    <x v="21"/>
    <x v="21"/>
    <s v="SNP"/>
    <x v="0"/>
    <x v="0"/>
    <n v="0"/>
    <s v="APPR"/>
    <x v="0"/>
    <m/>
    <s v="Reduced"/>
    <x v="0"/>
    <m/>
    <s v="10553"/>
    <s v=" "/>
    <s v="Resolved"/>
    <n v="2.2400000000000002"/>
    <n v="35"/>
    <n v="78.400000000000006"/>
    <n v="46268.655147939811"/>
    <s v="Non-severe need"/>
  </r>
  <r>
    <n v="1000003724"/>
    <s v="Mounds View ISD #621"/>
    <x v="21"/>
    <x v="21"/>
    <s v="SNP"/>
    <x v="0"/>
    <x v="0"/>
    <n v="0"/>
    <s v="APPR"/>
    <x v="0"/>
    <m/>
    <s v="Regular"/>
    <x v="0"/>
    <m/>
    <s v="10553"/>
    <s v=" "/>
    <s v="Resolved"/>
    <n v="0.42"/>
    <n v="191"/>
    <n v="80.22"/>
    <n v="46268.655147939811"/>
    <s v="Non-severe need"/>
  </r>
  <r>
    <n v="1000003724"/>
    <s v="Mounds View ISD #621"/>
    <x v="21"/>
    <x v="21"/>
    <s v="SNP"/>
    <x v="0"/>
    <x v="0"/>
    <n v="0"/>
    <s v="APPR"/>
    <x v="1"/>
    <m/>
    <s v="Free"/>
    <x v="0"/>
    <m/>
    <s v="10555"/>
    <s v="004"/>
    <s v="Resolved"/>
    <n v="4.3099999999999996"/>
    <n v="120"/>
    <n v="517.20000000000005"/>
    <n v="46268.655147939811"/>
    <s v="Less than 60 percent"/>
  </r>
  <r>
    <n v="1000003724"/>
    <s v="Mounds View ISD #621"/>
    <x v="21"/>
    <x v="21"/>
    <s v="SNP"/>
    <x v="0"/>
    <x v="0"/>
    <n v="0"/>
    <s v="APPR"/>
    <x v="1"/>
    <m/>
    <s v="HHFKA"/>
    <x v="0"/>
    <m/>
    <s v="10555"/>
    <s v="006"/>
    <s v="Resolved"/>
    <n v="0.09"/>
    <n v="412"/>
    <n v="37.08"/>
    <n v="46268.655147939811"/>
    <s v="Qualified"/>
  </r>
  <r>
    <n v="1000003724"/>
    <s v="Mounds View ISD #621"/>
    <x v="21"/>
    <x v="21"/>
    <s v="SNP"/>
    <x v="0"/>
    <x v="0"/>
    <n v="0"/>
    <s v="APPR"/>
    <x v="1"/>
    <m/>
    <s v="Reduced"/>
    <x v="0"/>
    <m/>
    <s v="10555"/>
    <s v="004"/>
    <s v="Resolved"/>
    <n v="3.91"/>
    <n v="43"/>
    <n v="168.13"/>
    <n v="46268.655147939811"/>
    <s v="Less than 60 percent"/>
  </r>
  <r>
    <n v="1000003724"/>
    <s v="Mounds View ISD #621"/>
    <x v="21"/>
    <x v="21"/>
    <s v="SNP"/>
    <x v="0"/>
    <x v="0"/>
    <n v="0"/>
    <s v="APPR"/>
    <x v="1"/>
    <m/>
    <s v="Total"/>
    <x v="0"/>
    <m/>
    <s v="10555"/>
    <s v="002"/>
    <s v="Resolved"/>
    <n v="0.45"/>
    <n v="412"/>
    <n v="185.4"/>
    <n v="46268.655147939811"/>
    <s v="Less than 60 percent"/>
  </r>
  <r>
    <n v="1000003724"/>
    <s v="Mounds View ISD #621"/>
    <x v="21"/>
    <x v="21"/>
    <s v="SNP"/>
    <x v="0"/>
    <x v="0"/>
    <n v="0"/>
    <s v="APPR"/>
    <x v="0"/>
    <m/>
    <s v="Reduced"/>
    <x v="1"/>
    <m/>
    <s v="S6210"/>
    <s v=" "/>
    <s v="Resolved"/>
    <n v="0.3"/>
    <n v="35"/>
    <n v="10.5"/>
    <n v="46268.655147939811"/>
    <s v="MN-FSM"/>
  </r>
  <r>
    <n v="1000003724"/>
    <s v="Mounds View ISD #621"/>
    <x v="21"/>
    <x v="21"/>
    <s v="SNP"/>
    <x v="0"/>
    <x v="0"/>
    <n v="0"/>
    <s v="APPR"/>
    <x v="0"/>
    <m/>
    <s v="Regular"/>
    <x v="1"/>
    <m/>
    <s v="S6210"/>
    <s v=" "/>
    <s v="Resolved"/>
    <n v="2.12"/>
    <n v="191"/>
    <n v="404.92"/>
    <n v="46268.655147939811"/>
    <s v="MN-FSM Non-severe Need"/>
  </r>
  <r>
    <n v="1000003724"/>
    <s v="Mounds View ISD #621"/>
    <x v="21"/>
    <x v="21"/>
    <s v="SNP"/>
    <x v="0"/>
    <x v="0"/>
    <n v="0"/>
    <s v="APPR"/>
    <x v="1"/>
    <m/>
    <s v="Free"/>
    <x v="1"/>
    <m/>
    <s v="S6201"/>
    <s v=" "/>
    <s v="Resolved"/>
    <n v="0.125"/>
    <n v="120"/>
    <n v="15"/>
    <n v="46268.655147939811"/>
    <s v="MN-FSM"/>
  </r>
  <r>
    <n v="1000003724"/>
    <s v="Mounds View ISD #621"/>
    <x v="21"/>
    <x v="21"/>
    <s v="SNP"/>
    <x v="0"/>
    <x v="0"/>
    <n v="0"/>
    <s v="APPR"/>
    <x v="1"/>
    <m/>
    <s v="Reduced"/>
    <x v="1"/>
    <m/>
    <s v="S6201"/>
    <s v=" "/>
    <s v="Resolved"/>
    <n v="0.52500000000000002"/>
    <n v="43"/>
    <n v="22.57"/>
    <n v="46268.655147939811"/>
    <s v="MN-FSM"/>
  </r>
  <r>
    <n v="1000003724"/>
    <s v="Mounds View ISD #621"/>
    <x v="21"/>
    <x v="21"/>
    <s v="SNP"/>
    <x v="0"/>
    <x v="0"/>
    <n v="0"/>
    <s v="APPR"/>
    <x v="1"/>
    <m/>
    <s v="Regular"/>
    <x v="1"/>
    <m/>
    <s v="S6201"/>
    <s v=" "/>
    <s v="Resolved"/>
    <n v="4.4349999999999996"/>
    <n v="249"/>
    <n v="1104.31"/>
    <n v="46268.655147939811"/>
    <s v="MN-FSM"/>
  </r>
  <r>
    <n v="1000003724"/>
    <s v="Mounds View ISD #621"/>
    <x v="22"/>
    <x v="22"/>
    <s v="SNP"/>
    <x v="0"/>
    <x v="0"/>
    <n v="0"/>
    <s v="APPR"/>
    <x v="0"/>
    <m/>
    <s v="Free"/>
    <x v="0"/>
    <m/>
    <s v="10553"/>
    <s v=" "/>
    <s v="Resolved"/>
    <n v="2.54"/>
    <n v="205"/>
    <n v="520.70000000000005"/>
    <n v="46268.655147939811"/>
    <s v="Non-severe need"/>
  </r>
  <r>
    <n v="1000003724"/>
    <s v="Mounds View ISD #621"/>
    <x v="22"/>
    <x v="22"/>
    <s v="SNP"/>
    <x v="0"/>
    <x v="0"/>
    <n v="0"/>
    <s v="APPR"/>
    <x v="0"/>
    <m/>
    <s v="Reduced"/>
    <x v="0"/>
    <m/>
    <s v="10553"/>
    <s v=" "/>
    <s v="Resolved"/>
    <n v="2.2400000000000002"/>
    <n v="115"/>
    <n v="257.60000000000002"/>
    <n v="46268.655147939811"/>
    <s v="Non-severe need"/>
  </r>
  <r>
    <n v="1000003724"/>
    <s v="Mounds View ISD #621"/>
    <x v="22"/>
    <x v="22"/>
    <s v="SNP"/>
    <x v="0"/>
    <x v="0"/>
    <n v="0"/>
    <s v="APPR"/>
    <x v="0"/>
    <m/>
    <s v="Regular"/>
    <x v="0"/>
    <m/>
    <s v="10553"/>
    <s v=" "/>
    <s v="Resolved"/>
    <n v="0.42"/>
    <n v="492"/>
    <n v="206.64"/>
    <n v="46268.655147939811"/>
    <s v="Non-severe need"/>
  </r>
  <r>
    <n v="1000003724"/>
    <s v="Mounds View ISD #621"/>
    <x v="22"/>
    <x v="22"/>
    <s v="SNP"/>
    <x v="0"/>
    <x v="0"/>
    <n v="0"/>
    <s v="APPR"/>
    <x v="1"/>
    <m/>
    <s v="Free"/>
    <x v="0"/>
    <m/>
    <s v="10555"/>
    <s v="004"/>
    <s v="Resolved"/>
    <n v="4.3099999999999996"/>
    <n v="224"/>
    <n v="965.44"/>
    <n v="46268.655147939811"/>
    <s v="Less than 60 percent"/>
  </r>
  <r>
    <n v="1000003724"/>
    <s v="Mounds View ISD #621"/>
    <x v="22"/>
    <x v="22"/>
    <s v="SNP"/>
    <x v="0"/>
    <x v="0"/>
    <n v="0"/>
    <s v="APPR"/>
    <x v="1"/>
    <m/>
    <s v="HHFKA"/>
    <x v="0"/>
    <m/>
    <s v="10555"/>
    <s v="006"/>
    <s v="Resolved"/>
    <n v="0.09"/>
    <n v="792"/>
    <n v="71.28"/>
    <n v="46268.655147939811"/>
    <s v="Qualified"/>
  </r>
  <r>
    <n v="1000003724"/>
    <s v="Mounds View ISD #621"/>
    <x v="22"/>
    <x v="22"/>
    <s v="SNP"/>
    <x v="0"/>
    <x v="0"/>
    <n v="0"/>
    <s v="APPR"/>
    <x v="1"/>
    <m/>
    <s v="Reduced"/>
    <x v="0"/>
    <m/>
    <s v="10555"/>
    <s v="004"/>
    <s v="Resolved"/>
    <n v="3.91"/>
    <n v="109"/>
    <n v="426.19"/>
    <n v="46268.655147939811"/>
    <s v="Less than 60 percent"/>
  </r>
  <r>
    <n v="1000003724"/>
    <s v="Mounds View ISD #621"/>
    <x v="22"/>
    <x v="22"/>
    <s v="SNP"/>
    <x v="0"/>
    <x v="0"/>
    <n v="0"/>
    <s v="APPR"/>
    <x v="1"/>
    <m/>
    <s v="Total"/>
    <x v="0"/>
    <m/>
    <s v="10555"/>
    <s v="002"/>
    <s v="Resolved"/>
    <n v="0.45"/>
    <n v="792"/>
    <n v="356.4"/>
    <n v="46268.655147939811"/>
    <s v="Less than 60 percent"/>
  </r>
  <r>
    <n v="1000003724"/>
    <s v="Mounds View ISD #621"/>
    <x v="22"/>
    <x v="22"/>
    <s v="SNP"/>
    <x v="0"/>
    <x v="0"/>
    <n v="0"/>
    <s v="APPR"/>
    <x v="0"/>
    <m/>
    <s v="Reduced"/>
    <x v="1"/>
    <m/>
    <s v="S6210"/>
    <s v=" "/>
    <s v="Resolved"/>
    <n v="0.3"/>
    <n v="115"/>
    <n v="34.5"/>
    <n v="46268.655147939811"/>
    <s v="MN-FSM"/>
  </r>
  <r>
    <n v="1000003724"/>
    <s v="Mounds View ISD #621"/>
    <x v="22"/>
    <x v="22"/>
    <s v="SNP"/>
    <x v="0"/>
    <x v="0"/>
    <n v="0"/>
    <s v="APPR"/>
    <x v="0"/>
    <m/>
    <s v="Regular"/>
    <x v="1"/>
    <m/>
    <s v="S6210"/>
    <s v=" "/>
    <s v="Resolved"/>
    <n v="2.12"/>
    <n v="492"/>
    <n v="1043.04"/>
    <n v="46268.655147939811"/>
    <s v="MN-FSM Non-severe Need"/>
  </r>
  <r>
    <n v="1000003724"/>
    <s v="Mounds View ISD #621"/>
    <x v="22"/>
    <x v="22"/>
    <s v="SNP"/>
    <x v="0"/>
    <x v="0"/>
    <n v="0"/>
    <s v="APPR"/>
    <x v="1"/>
    <m/>
    <s v="Free"/>
    <x v="1"/>
    <m/>
    <s v="S6201"/>
    <s v=" "/>
    <s v="Resolved"/>
    <n v="0.125"/>
    <n v="224"/>
    <n v="28"/>
    <n v="46268.655147939811"/>
    <s v="MN-FSM"/>
  </r>
  <r>
    <n v="1000003724"/>
    <s v="Mounds View ISD #621"/>
    <x v="22"/>
    <x v="22"/>
    <s v="SNP"/>
    <x v="0"/>
    <x v="0"/>
    <n v="0"/>
    <s v="APPR"/>
    <x v="1"/>
    <m/>
    <s v="Reduced"/>
    <x v="1"/>
    <m/>
    <s v="S6201"/>
    <s v=" "/>
    <s v="Resolved"/>
    <n v="0.52500000000000002"/>
    <n v="109"/>
    <n v="57.22"/>
    <n v="46268.655147939811"/>
    <s v="MN-FSM"/>
  </r>
  <r>
    <n v="1000003724"/>
    <s v="Mounds View ISD #621"/>
    <x v="22"/>
    <x v="22"/>
    <s v="SNP"/>
    <x v="0"/>
    <x v="0"/>
    <n v="0"/>
    <s v="APPR"/>
    <x v="1"/>
    <m/>
    <s v="Regular"/>
    <x v="1"/>
    <m/>
    <s v="S6201"/>
    <s v=" "/>
    <s v="Resolved"/>
    <n v="4.4349999999999996"/>
    <n v="459"/>
    <n v="2035.66"/>
    <n v="46268.655147939811"/>
    <s v="MN-FSM"/>
  </r>
  <r>
    <n v="1000003724"/>
    <s v="Mounds View ISD #621"/>
    <x v="23"/>
    <x v="23"/>
    <s v="SNP"/>
    <x v="0"/>
    <x v="0"/>
    <n v="0"/>
    <s v="APPR"/>
    <x v="0"/>
    <m/>
    <s v="Free"/>
    <x v="0"/>
    <m/>
    <s v="10553"/>
    <s v=" "/>
    <s v="Resolved"/>
    <n v="2.54"/>
    <n v="18"/>
    <n v="45.72"/>
    <n v="46268.655147939811"/>
    <s v="Non-severe need"/>
  </r>
  <r>
    <n v="1000003724"/>
    <s v="Mounds View ISD #621"/>
    <x v="23"/>
    <x v="23"/>
    <s v="SNP"/>
    <x v="0"/>
    <x v="0"/>
    <n v="0"/>
    <s v="APPR"/>
    <x v="0"/>
    <m/>
    <s v="Reduced"/>
    <x v="0"/>
    <m/>
    <s v="10553"/>
    <s v=" "/>
    <s v="Resolved"/>
    <n v="2.2400000000000002"/>
    <n v="2"/>
    <n v="4.4800000000000004"/>
    <n v="46268.655147939811"/>
    <s v="Non-severe need"/>
  </r>
  <r>
    <n v="1000003724"/>
    <s v="Mounds View ISD #621"/>
    <x v="23"/>
    <x v="23"/>
    <s v="SNP"/>
    <x v="0"/>
    <x v="0"/>
    <n v="0"/>
    <s v="APPR"/>
    <x v="0"/>
    <m/>
    <s v="Regular"/>
    <x v="0"/>
    <m/>
    <s v="10553"/>
    <s v=" "/>
    <s v="Resolved"/>
    <n v="0.42"/>
    <n v="13"/>
    <n v="5.46"/>
    <n v="46268.655147939811"/>
    <s v="Non-severe need"/>
  </r>
  <r>
    <n v="1000003724"/>
    <s v="Mounds View ISD #621"/>
    <x v="23"/>
    <x v="23"/>
    <s v="SNP"/>
    <x v="0"/>
    <x v="0"/>
    <n v="0"/>
    <s v="APPR"/>
    <x v="1"/>
    <m/>
    <s v="Free"/>
    <x v="0"/>
    <m/>
    <s v="10555"/>
    <s v="004"/>
    <s v="Resolved"/>
    <n v="4.3099999999999996"/>
    <n v="44"/>
    <n v="189.64"/>
    <n v="46268.655147939811"/>
    <s v="Less than 60 percent"/>
  </r>
  <r>
    <n v="1000003724"/>
    <s v="Mounds View ISD #621"/>
    <x v="23"/>
    <x v="23"/>
    <s v="SNP"/>
    <x v="0"/>
    <x v="0"/>
    <n v="0"/>
    <s v="APPR"/>
    <x v="1"/>
    <m/>
    <s v="HHFKA"/>
    <x v="0"/>
    <m/>
    <s v="10555"/>
    <s v="006"/>
    <s v="Resolved"/>
    <n v="0.09"/>
    <n v="90"/>
    <n v="8.1"/>
    <n v="46268.655147939811"/>
    <s v="Qualified"/>
  </r>
  <r>
    <n v="1000003724"/>
    <s v="Mounds View ISD #621"/>
    <x v="23"/>
    <x v="23"/>
    <s v="SNP"/>
    <x v="0"/>
    <x v="0"/>
    <n v="0"/>
    <s v="APPR"/>
    <x v="1"/>
    <m/>
    <s v="Reduced"/>
    <x v="0"/>
    <m/>
    <s v="10555"/>
    <s v="004"/>
    <s v="Resolved"/>
    <n v="3.91"/>
    <n v="3"/>
    <n v="11.73"/>
    <n v="46268.655147939811"/>
    <s v="Less than 60 percent"/>
  </r>
  <r>
    <n v="1000003724"/>
    <s v="Mounds View ISD #621"/>
    <x v="23"/>
    <x v="23"/>
    <s v="SNP"/>
    <x v="0"/>
    <x v="0"/>
    <n v="0"/>
    <s v="APPR"/>
    <x v="1"/>
    <m/>
    <s v="Total"/>
    <x v="0"/>
    <m/>
    <s v="10555"/>
    <s v="002"/>
    <s v="Resolved"/>
    <n v="0.45"/>
    <n v="90"/>
    <n v="40.5"/>
    <n v="46268.655147939811"/>
    <s v="Less than 60 percent"/>
  </r>
  <r>
    <n v="1000003724"/>
    <s v="Mounds View ISD #621"/>
    <x v="23"/>
    <x v="23"/>
    <s v="SNP"/>
    <x v="0"/>
    <x v="0"/>
    <n v="0"/>
    <s v="APPR"/>
    <x v="0"/>
    <m/>
    <s v="Reduced"/>
    <x v="1"/>
    <m/>
    <s v="S6210"/>
    <s v=" "/>
    <s v="Resolved"/>
    <n v="0.3"/>
    <n v="2"/>
    <n v="0.6"/>
    <n v="46268.655147939811"/>
    <s v="MN-FSM"/>
  </r>
  <r>
    <n v="1000003724"/>
    <s v="Mounds View ISD #621"/>
    <x v="23"/>
    <x v="23"/>
    <s v="SNP"/>
    <x v="0"/>
    <x v="0"/>
    <n v="0"/>
    <s v="APPR"/>
    <x v="0"/>
    <m/>
    <s v="Regular"/>
    <x v="1"/>
    <m/>
    <s v="S6210"/>
    <s v=" "/>
    <s v="Resolved"/>
    <n v="2.12"/>
    <n v="13"/>
    <n v="27.56"/>
    <n v="46268.655147939811"/>
    <s v="MN-FSM Non-severe Need"/>
  </r>
  <r>
    <n v="1000003724"/>
    <s v="Mounds View ISD #621"/>
    <x v="23"/>
    <x v="23"/>
    <s v="SNP"/>
    <x v="0"/>
    <x v="0"/>
    <n v="0"/>
    <s v="APPR"/>
    <x v="0"/>
    <s v="Kindergarten"/>
    <s v="Regular"/>
    <x v="1"/>
    <m/>
    <s v="S6210"/>
    <s v=" "/>
    <s v="Resolved"/>
    <n v="0"/>
    <n v="13"/>
    <n v="0"/>
    <n v="46268.655147939811"/>
    <s v="MN-FSM Kindergarten"/>
  </r>
  <r>
    <n v="1000003724"/>
    <s v="Mounds View ISD #621"/>
    <x v="23"/>
    <x v="23"/>
    <s v="SNP"/>
    <x v="0"/>
    <x v="0"/>
    <n v="0"/>
    <s v="APPR"/>
    <x v="1"/>
    <m/>
    <s v="Free"/>
    <x v="1"/>
    <m/>
    <s v="S6201"/>
    <s v=" "/>
    <s v="Resolved"/>
    <n v="0.125"/>
    <n v="44"/>
    <n v="5.5"/>
    <n v="46268.655147939811"/>
    <s v="MN-FSM"/>
  </r>
  <r>
    <n v="1000003724"/>
    <s v="Mounds View ISD #621"/>
    <x v="23"/>
    <x v="23"/>
    <s v="SNP"/>
    <x v="0"/>
    <x v="0"/>
    <n v="0"/>
    <s v="APPR"/>
    <x v="1"/>
    <m/>
    <s v="Reduced"/>
    <x v="1"/>
    <m/>
    <s v="S6201"/>
    <s v=" "/>
    <s v="Resolved"/>
    <n v="0.52500000000000002"/>
    <n v="3"/>
    <n v="1.57"/>
    <n v="46268.655147939811"/>
    <s v="MN-FSM"/>
  </r>
  <r>
    <n v="1000003724"/>
    <s v="Mounds View ISD #621"/>
    <x v="23"/>
    <x v="23"/>
    <s v="SNP"/>
    <x v="0"/>
    <x v="0"/>
    <n v="0"/>
    <s v="APPR"/>
    <x v="1"/>
    <m/>
    <s v="Regular"/>
    <x v="1"/>
    <m/>
    <s v="S6201"/>
    <s v=" "/>
    <s v="Resolved"/>
    <n v="4.4349999999999996"/>
    <n v="43"/>
    <n v="190.7"/>
    <n v="46268.655147939811"/>
    <s v="MN-FSM"/>
  </r>
  <r>
    <n v="1000003724"/>
    <s v="Mounds View ISD #621"/>
    <x v="24"/>
    <x v="24"/>
    <s v="SNP"/>
    <x v="0"/>
    <x v="0"/>
    <n v="0"/>
    <s v="APPR"/>
    <x v="0"/>
    <m/>
    <s v="Free"/>
    <x v="0"/>
    <m/>
    <s v="10553"/>
    <s v=" "/>
    <s v="Resolved"/>
    <n v="2.54"/>
    <n v="250"/>
    <n v="635"/>
    <n v="46268.655147939811"/>
    <s v="Non-severe need"/>
  </r>
  <r>
    <n v="1000003724"/>
    <s v="Mounds View ISD #621"/>
    <x v="24"/>
    <x v="24"/>
    <s v="SNP"/>
    <x v="0"/>
    <x v="0"/>
    <n v="0"/>
    <s v="APPR"/>
    <x v="0"/>
    <m/>
    <s v="Reduced"/>
    <x v="0"/>
    <m/>
    <s v="10553"/>
    <s v=" "/>
    <s v="Resolved"/>
    <n v="2.2400000000000002"/>
    <n v="103"/>
    <n v="230.72"/>
    <n v="46268.655147939811"/>
    <s v="Non-severe need"/>
  </r>
  <r>
    <n v="1000003724"/>
    <s v="Mounds View ISD #621"/>
    <x v="24"/>
    <x v="24"/>
    <s v="SNP"/>
    <x v="0"/>
    <x v="0"/>
    <n v="0"/>
    <s v="APPR"/>
    <x v="0"/>
    <m/>
    <s v="Regular"/>
    <x v="0"/>
    <m/>
    <s v="10553"/>
    <s v=" "/>
    <s v="Resolved"/>
    <n v="0.42"/>
    <n v="366"/>
    <n v="153.72"/>
    <n v="46268.655147939811"/>
    <s v="Non-severe need"/>
  </r>
  <r>
    <n v="1000003724"/>
    <s v="Mounds View ISD #621"/>
    <x v="24"/>
    <x v="24"/>
    <s v="SNP"/>
    <x v="0"/>
    <x v="0"/>
    <n v="0"/>
    <s v="APPR"/>
    <x v="1"/>
    <m/>
    <s v="Free"/>
    <x v="0"/>
    <m/>
    <s v="10555"/>
    <s v="004"/>
    <s v="Resolved"/>
    <n v="4.3099999999999996"/>
    <n v="292"/>
    <n v="1258.52"/>
    <n v="46268.655147939811"/>
    <s v="Less than 60 percent"/>
  </r>
  <r>
    <n v="1000003724"/>
    <s v="Mounds View ISD #621"/>
    <x v="24"/>
    <x v="24"/>
    <s v="SNP"/>
    <x v="0"/>
    <x v="0"/>
    <n v="0"/>
    <s v="APPR"/>
    <x v="1"/>
    <m/>
    <s v="HHFKA"/>
    <x v="0"/>
    <m/>
    <s v="10555"/>
    <s v="006"/>
    <s v="Resolved"/>
    <n v="0.09"/>
    <n v="971"/>
    <n v="87.39"/>
    <n v="46268.655147939811"/>
    <s v="Qualified"/>
  </r>
  <r>
    <n v="1000003724"/>
    <s v="Mounds View ISD #621"/>
    <x v="24"/>
    <x v="24"/>
    <s v="SNP"/>
    <x v="0"/>
    <x v="0"/>
    <n v="0"/>
    <s v="APPR"/>
    <x v="1"/>
    <m/>
    <s v="Reduced"/>
    <x v="0"/>
    <m/>
    <s v="10555"/>
    <s v="004"/>
    <s v="Resolved"/>
    <n v="3.91"/>
    <n v="135"/>
    <n v="527.85"/>
    <n v="46268.655147939811"/>
    <s v="Less than 60 percent"/>
  </r>
  <r>
    <n v="1000003724"/>
    <s v="Mounds View ISD #621"/>
    <x v="24"/>
    <x v="24"/>
    <s v="SNP"/>
    <x v="0"/>
    <x v="0"/>
    <n v="0"/>
    <s v="APPR"/>
    <x v="1"/>
    <m/>
    <s v="Total"/>
    <x v="0"/>
    <m/>
    <s v="10555"/>
    <s v="002"/>
    <s v="Resolved"/>
    <n v="0.45"/>
    <n v="971"/>
    <n v="436.95"/>
    <n v="46268.655147939811"/>
    <s v="Less than 60 percent"/>
  </r>
  <r>
    <n v="1000003724"/>
    <s v="Mounds View ISD #621"/>
    <x v="24"/>
    <x v="24"/>
    <s v="SNP"/>
    <x v="0"/>
    <x v="0"/>
    <n v="0"/>
    <s v="APPR"/>
    <x v="0"/>
    <m/>
    <s v="Reduced"/>
    <x v="1"/>
    <m/>
    <s v="S6210"/>
    <s v=" "/>
    <s v="Resolved"/>
    <n v="0.3"/>
    <n v="103"/>
    <n v="30.9"/>
    <n v="46268.655147939811"/>
    <s v="MN-FSM"/>
  </r>
  <r>
    <n v="1000003724"/>
    <s v="Mounds View ISD #621"/>
    <x v="24"/>
    <x v="24"/>
    <s v="SNP"/>
    <x v="0"/>
    <x v="0"/>
    <n v="0"/>
    <s v="APPR"/>
    <x v="0"/>
    <m/>
    <s v="Regular"/>
    <x v="1"/>
    <m/>
    <s v="S6210"/>
    <s v=" "/>
    <s v="Resolved"/>
    <n v="2.12"/>
    <n v="366"/>
    <n v="775.92"/>
    <n v="46268.655147939811"/>
    <s v="MN-FSM Non-severe Need"/>
  </r>
  <r>
    <n v="1000003724"/>
    <s v="Mounds View ISD #621"/>
    <x v="24"/>
    <x v="24"/>
    <s v="SNP"/>
    <x v="0"/>
    <x v="0"/>
    <n v="0"/>
    <s v="APPR"/>
    <x v="1"/>
    <m/>
    <s v="Free"/>
    <x v="1"/>
    <m/>
    <s v="S6201"/>
    <s v=" "/>
    <s v="Resolved"/>
    <n v="0.125"/>
    <n v="292"/>
    <n v="36.5"/>
    <n v="46268.655147939811"/>
    <s v="MN-FSM"/>
  </r>
  <r>
    <n v="1000003724"/>
    <s v="Mounds View ISD #621"/>
    <x v="24"/>
    <x v="24"/>
    <s v="SNP"/>
    <x v="0"/>
    <x v="0"/>
    <n v="0"/>
    <s v="APPR"/>
    <x v="1"/>
    <m/>
    <s v="Reduced"/>
    <x v="1"/>
    <m/>
    <s v="S6201"/>
    <s v=" "/>
    <s v="Resolved"/>
    <n v="0.52500000000000002"/>
    <n v="135"/>
    <n v="70.87"/>
    <n v="46268.655147939811"/>
    <s v="MN-FSM"/>
  </r>
  <r>
    <n v="1000003724"/>
    <s v="Mounds View ISD #621"/>
    <x v="24"/>
    <x v="24"/>
    <s v="SNP"/>
    <x v="0"/>
    <x v="0"/>
    <n v="0"/>
    <s v="APPR"/>
    <x v="1"/>
    <m/>
    <s v="Regular"/>
    <x v="1"/>
    <m/>
    <s v="S6201"/>
    <s v=" "/>
    <s v="Resolved"/>
    <n v="4.4349999999999996"/>
    <n v="544"/>
    <n v="2412.64"/>
    <n v="46268.655147939811"/>
    <s v="MN-FSM"/>
  </r>
  <r>
    <n v="1000004366"/>
    <s v="Nexus Inc"/>
    <x v="25"/>
    <x v="25"/>
    <s v="SNP"/>
    <x v="0"/>
    <x v="0"/>
    <n v="0"/>
    <s v="APPR"/>
    <x v="0"/>
    <m/>
    <s v="Regular"/>
    <x v="0"/>
    <m/>
    <s v="10553"/>
    <s v=" "/>
    <s v="Resolved"/>
    <n v="0.42"/>
    <n v="132"/>
    <n v="55.44"/>
    <n v="46268.655147939811"/>
    <s v="Severe need"/>
  </r>
  <r>
    <n v="1000004366"/>
    <s v="Nexus Inc"/>
    <x v="25"/>
    <x v="25"/>
    <s v="SNP"/>
    <x v="0"/>
    <x v="0"/>
    <n v="0"/>
    <s v="APPR"/>
    <x v="1"/>
    <m/>
    <s v="HHFKA"/>
    <x v="0"/>
    <m/>
    <s v="10555"/>
    <s v="006"/>
    <s v="Resolved"/>
    <n v="0.09"/>
    <n v="166"/>
    <n v="14.94"/>
    <n v="46268.655147939811"/>
    <s v="Qualified"/>
  </r>
  <r>
    <n v="1000004366"/>
    <s v="Nexus Inc"/>
    <x v="25"/>
    <x v="25"/>
    <s v="SNP"/>
    <x v="0"/>
    <x v="0"/>
    <n v="0"/>
    <s v="APPR"/>
    <x v="1"/>
    <m/>
    <s v="Total"/>
    <x v="0"/>
    <m/>
    <s v="10555"/>
    <s v="002"/>
    <s v="Resolved"/>
    <n v="0.47"/>
    <n v="166"/>
    <n v="78.02"/>
    <n v="46268.655147939811"/>
    <s v="60 percent or over"/>
  </r>
  <r>
    <n v="1000004366"/>
    <s v="Nexus Inc"/>
    <x v="25"/>
    <x v="25"/>
    <s v="SNP"/>
    <x v="0"/>
    <x v="0"/>
    <n v="0"/>
    <s v="APPR"/>
    <x v="0"/>
    <m/>
    <s v="Regular"/>
    <x v="1"/>
    <m/>
    <s v="S6210"/>
    <s v=" "/>
    <s v="Resolved"/>
    <n v="2.63"/>
    <n v="132"/>
    <n v="347.16"/>
    <n v="46268.655147939811"/>
    <s v="MN-FSM Severe Need"/>
  </r>
  <r>
    <n v="1000004366"/>
    <s v="Nexus Inc"/>
    <x v="25"/>
    <x v="25"/>
    <s v="SNP"/>
    <x v="0"/>
    <x v="0"/>
    <n v="0"/>
    <s v="APPR"/>
    <x v="1"/>
    <m/>
    <s v="Regular"/>
    <x v="1"/>
    <m/>
    <s v="S6201"/>
    <s v=" "/>
    <s v="Resolved"/>
    <n v="4.4349999999999996"/>
    <n v="166"/>
    <n v="736.21"/>
    <n v="46268.655147939811"/>
    <s v="MN-FSM"/>
  </r>
  <r>
    <n v="1000004366"/>
    <s v="Nexus Inc"/>
    <x v="26"/>
    <x v="26"/>
    <s v="SNP"/>
    <x v="0"/>
    <x v="0"/>
    <n v="0"/>
    <s v="APPR"/>
    <x v="0"/>
    <m/>
    <s v="Free"/>
    <x v="0"/>
    <m/>
    <s v="10553"/>
    <s v=" "/>
    <s v="Resolved"/>
    <n v="3.05"/>
    <n v="1028"/>
    <n v="3135.4"/>
    <n v="46268.655147939811"/>
    <s v="Severe need"/>
  </r>
  <r>
    <n v="1000004366"/>
    <s v="Nexus Inc"/>
    <x v="26"/>
    <x v="26"/>
    <s v="SNP"/>
    <x v="0"/>
    <x v="0"/>
    <n v="0"/>
    <s v="APPR"/>
    <x v="1"/>
    <m/>
    <s v="Free"/>
    <x v="0"/>
    <m/>
    <s v="10555"/>
    <s v="004"/>
    <s v="Resolved"/>
    <n v="4.3099999999999996"/>
    <n v="944"/>
    <n v="4068.64"/>
    <n v="46268.655147939811"/>
    <s v="60 percent or over"/>
  </r>
  <r>
    <n v="1000004366"/>
    <s v="Nexus Inc"/>
    <x v="26"/>
    <x v="26"/>
    <s v="SNP"/>
    <x v="0"/>
    <x v="0"/>
    <n v="0"/>
    <s v="APPR"/>
    <x v="1"/>
    <m/>
    <s v="HHFKA"/>
    <x v="0"/>
    <m/>
    <s v="10555"/>
    <s v="006"/>
    <s v="Resolved"/>
    <n v="0.09"/>
    <n v="944"/>
    <n v="84.96"/>
    <n v="46268.655147939811"/>
    <s v="Qualified"/>
  </r>
  <r>
    <n v="1000004366"/>
    <s v="Nexus Inc"/>
    <x v="26"/>
    <x v="26"/>
    <s v="SNP"/>
    <x v="0"/>
    <x v="0"/>
    <n v="0"/>
    <s v="APPR"/>
    <x v="1"/>
    <m/>
    <s v="Total"/>
    <x v="0"/>
    <m/>
    <s v="10555"/>
    <s v="002"/>
    <s v="Resolved"/>
    <n v="0.47"/>
    <n v="944"/>
    <n v="443.68"/>
    <n v="46268.655147939811"/>
    <s v="60 percent or over"/>
  </r>
  <r>
    <n v="1000004366"/>
    <s v="Nexus Inc"/>
    <x v="26"/>
    <x v="26"/>
    <s v="SNP"/>
    <x v="0"/>
    <x v="0"/>
    <n v="0"/>
    <s v="APPR"/>
    <x v="1"/>
    <m/>
    <s v="Free"/>
    <x v="1"/>
    <m/>
    <s v="S6201"/>
    <s v=" "/>
    <s v="Resolved"/>
    <n v="0.125"/>
    <n v="944"/>
    <n v="118"/>
    <n v="46268.655147939811"/>
    <s v="MN-FSM"/>
  </r>
  <r>
    <n v="1000004414"/>
    <s v="North Homes Inc"/>
    <x v="27"/>
    <x v="27"/>
    <s v="SNP"/>
    <x v="0"/>
    <x v="0"/>
    <n v="0"/>
    <s v="APPR"/>
    <x v="2"/>
    <m/>
    <s v="Free"/>
    <x v="0"/>
    <m/>
    <s v="10555"/>
    <s v="SNA"/>
    <s v="Resolved"/>
    <n v="1.3"/>
    <n v="1088"/>
    <n v="1414.4"/>
    <n v="46268.655147939811"/>
    <s v=" "/>
  </r>
  <r>
    <n v="1000004414"/>
    <s v="North Homes Inc"/>
    <x v="27"/>
    <x v="27"/>
    <s v="SNP"/>
    <x v="0"/>
    <x v="0"/>
    <n v="0"/>
    <s v="APPR"/>
    <x v="0"/>
    <m/>
    <s v="Free"/>
    <x v="0"/>
    <m/>
    <s v="10553"/>
    <s v=" "/>
    <s v="Resolved"/>
    <n v="3.05"/>
    <n v="1081"/>
    <n v="3297.05"/>
    <n v="46268.655147939811"/>
    <s v="Severe need"/>
  </r>
  <r>
    <n v="1000004414"/>
    <s v="North Homes Inc"/>
    <x v="27"/>
    <x v="27"/>
    <s v="SNP"/>
    <x v="0"/>
    <x v="0"/>
    <n v="0"/>
    <s v="APPR"/>
    <x v="1"/>
    <m/>
    <s v="Free"/>
    <x v="0"/>
    <m/>
    <s v="10555"/>
    <s v="004"/>
    <s v="Resolved"/>
    <n v="4.3099999999999996"/>
    <n v="1083"/>
    <n v="4667.7299999999996"/>
    <n v="46268.655147939811"/>
    <s v="60 percent or over"/>
  </r>
  <r>
    <n v="1000004414"/>
    <s v="North Homes Inc"/>
    <x v="27"/>
    <x v="27"/>
    <s v="SNP"/>
    <x v="0"/>
    <x v="0"/>
    <n v="0"/>
    <s v="APPR"/>
    <x v="1"/>
    <m/>
    <s v="HHFKA"/>
    <x v="0"/>
    <m/>
    <s v="10555"/>
    <s v="006"/>
    <s v="Resolved"/>
    <n v="0.09"/>
    <n v="1083"/>
    <n v="97.47"/>
    <n v="46268.655147939811"/>
    <s v="Qualified"/>
  </r>
  <r>
    <n v="1000004414"/>
    <s v="North Homes Inc"/>
    <x v="27"/>
    <x v="27"/>
    <s v="SNP"/>
    <x v="0"/>
    <x v="0"/>
    <n v="0"/>
    <s v="APPR"/>
    <x v="1"/>
    <m/>
    <s v="Total"/>
    <x v="0"/>
    <m/>
    <s v="10555"/>
    <s v="002"/>
    <s v="Resolved"/>
    <n v="0.47"/>
    <n v="1083"/>
    <n v="509.01"/>
    <n v="46268.655147939811"/>
    <s v="60 percent or over"/>
  </r>
  <r>
    <n v="1000004414"/>
    <s v="North Homes Inc"/>
    <x v="27"/>
    <x v="27"/>
    <s v="SNP"/>
    <x v="0"/>
    <x v="0"/>
    <n v="0"/>
    <s v="APPR"/>
    <x v="1"/>
    <m/>
    <s v="Free"/>
    <x v="1"/>
    <m/>
    <s v="S6201"/>
    <s v=" "/>
    <s v="Resolved"/>
    <n v="0.125"/>
    <n v="1083"/>
    <n v="135.37"/>
    <n v="46268.655147939811"/>
    <s v="MN-FSM"/>
  </r>
  <r>
    <n v="1000003994"/>
    <s v="Northfield ISD #659"/>
    <x v="28"/>
    <x v="28"/>
    <s v="SNP"/>
    <x v="0"/>
    <x v="0"/>
    <n v="0"/>
    <s v="APPR"/>
    <x v="0"/>
    <m/>
    <s v="Free"/>
    <x v="0"/>
    <m/>
    <s v="10553"/>
    <s v=" "/>
    <s v="Resolved"/>
    <n v="2.54"/>
    <n v="827"/>
    <n v="2100.58"/>
    <n v="46268.655147939811"/>
    <s v="Non-severe need"/>
  </r>
  <r>
    <n v="1000003994"/>
    <s v="Northfield ISD #659"/>
    <x v="28"/>
    <x v="28"/>
    <s v="SNP"/>
    <x v="0"/>
    <x v="0"/>
    <n v="0"/>
    <s v="APPR"/>
    <x v="0"/>
    <m/>
    <s v="Reduced"/>
    <x v="0"/>
    <m/>
    <s v="10553"/>
    <s v=" "/>
    <s v="Resolved"/>
    <n v="2.2400000000000002"/>
    <n v="108"/>
    <n v="241.92"/>
    <n v="46268.655147939811"/>
    <s v="Non-severe need"/>
  </r>
  <r>
    <n v="1000003994"/>
    <s v="Northfield ISD #659"/>
    <x v="28"/>
    <x v="28"/>
    <s v="SNP"/>
    <x v="0"/>
    <x v="0"/>
    <n v="0"/>
    <s v="APPR"/>
    <x v="0"/>
    <m/>
    <s v="Regular"/>
    <x v="0"/>
    <m/>
    <s v="10553"/>
    <s v=" "/>
    <s v="Resolved"/>
    <n v="0.42"/>
    <n v="664"/>
    <n v="278.88"/>
    <n v="46268.655147939811"/>
    <s v="Non-severe need"/>
  </r>
  <r>
    <n v="1000003994"/>
    <s v="Northfield ISD #659"/>
    <x v="28"/>
    <x v="28"/>
    <s v="SNP"/>
    <x v="0"/>
    <x v="0"/>
    <n v="0"/>
    <s v="APPR"/>
    <x v="1"/>
    <m/>
    <s v="Free"/>
    <x v="0"/>
    <m/>
    <s v="10555"/>
    <s v="004"/>
    <s v="Resolved"/>
    <n v="4.3099999999999996"/>
    <n v="1174"/>
    <n v="5059.9399999999996"/>
    <n v="46268.655147939811"/>
    <s v="Less than 60 percent"/>
  </r>
  <r>
    <n v="1000003994"/>
    <s v="Northfield ISD #659"/>
    <x v="28"/>
    <x v="28"/>
    <s v="SNP"/>
    <x v="0"/>
    <x v="0"/>
    <n v="0"/>
    <s v="APPR"/>
    <x v="1"/>
    <m/>
    <s v="HHFKA"/>
    <x v="0"/>
    <m/>
    <s v="10555"/>
    <s v="006"/>
    <s v="Resolved"/>
    <n v="0.09"/>
    <n v="2328"/>
    <n v="209.52"/>
    <n v="46268.655147939811"/>
    <s v="Qualified"/>
  </r>
  <r>
    <n v="1000003994"/>
    <s v="Northfield ISD #659"/>
    <x v="28"/>
    <x v="28"/>
    <s v="SNP"/>
    <x v="0"/>
    <x v="0"/>
    <n v="0"/>
    <s v="APPR"/>
    <x v="1"/>
    <m/>
    <s v="Reduced"/>
    <x v="0"/>
    <m/>
    <s v="10555"/>
    <s v="004"/>
    <s v="Resolved"/>
    <n v="3.91"/>
    <n v="158"/>
    <n v="617.78"/>
    <n v="46268.655147939811"/>
    <s v="Less than 60 percent"/>
  </r>
  <r>
    <n v="1000003994"/>
    <s v="Northfield ISD #659"/>
    <x v="28"/>
    <x v="28"/>
    <s v="SNP"/>
    <x v="0"/>
    <x v="0"/>
    <n v="0"/>
    <s v="APPR"/>
    <x v="1"/>
    <m/>
    <s v="Total"/>
    <x v="0"/>
    <m/>
    <s v="10555"/>
    <s v="002"/>
    <s v="Resolved"/>
    <n v="0.45"/>
    <n v="2328"/>
    <n v="1047.5999999999999"/>
    <n v="46268.655147939811"/>
    <s v="Less than 60 percent"/>
  </r>
  <r>
    <n v="1000003994"/>
    <s v="Northfield ISD #659"/>
    <x v="28"/>
    <x v="28"/>
    <s v="SNP"/>
    <x v="0"/>
    <x v="0"/>
    <n v="0"/>
    <s v="APPR"/>
    <x v="0"/>
    <m/>
    <s v="Reduced"/>
    <x v="1"/>
    <m/>
    <s v="S6210"/>
    <s v=" "/>
    <s v="Resolved"/>
    <n v="0.3"/>
    <n v="108"/>
    <n v="32.4"/>
    <n v="46268.655147939811"/>
    <s v="MN-FSM"/>
  </r>
  <r>
    <n v="1000003994"/>
    <s v="Northfield ISD #659"/>
    <x v="28"/>
    <x v="28"/>
    <s v="SNP"/>
    <x v="0"/>
    <x v="0"/>
    <n v="0"/>
    <s v="APPR"/>
    <x v="0"/>
    <m/>
    <s v="Regular"/>
    <x v="1"/>
    <m/>
    <s v="S6210"/>
    <s v=" "/>
    <s v="Resolved"/>
    <n v="2.12"/>
    <n v="664"/>
    <n v="1407.68"/>
    <n v="46268.655147939811"/>
    <s v="MN-FSM Non-severe Need"/>
  </r>
  <r>
    <n v="1000003994"/>
    <s v="Northfield ISD #659"/>
    <x v="28"/>
    <x v="28"/>
    <s v="SNP"/>
    <x v="0"/>
    <x v="0"/>
    <n v="0"/>
    <s v="APPR"/>
    <x v="1"/>
    <m/>
    <s v="Free"/>
    <x v="1"/>
    <m/>
    <s v="S6201"/>
    <s v=" "/>
    <s v="Resolved"/>
    <n v="0.125"/>
    <n v="1174"/>
    <n v="146.75"/>
    <n v="46268.655147939811"/>
    <s v="MN-FSM"/>
  </r>
  <r>
    <n v="1000003994"/>
    <s v="Northfield ISD #659"/>
    <x v="28"/>
    <x v="28"/>
    <s v="SNP"/>
    <x v="0"/>
    <x v="0"/>
    <n v="0"/>
    <s v="APPR"/>
    <x v="1"/>
    <m/>
    <s v="Reduced"/>
    <x v="1"/>
    <m/>
    <s v="S6201"/>
    <s v=" "/>
    <s v="Resolved"/>
    <n v="0.52500000000000002"/>
    <n v="158"/>
    <n v="82.95"/>
    <n v="46268.655147939811"/>
    <s v="MN-FSM"/>
  </r>
  <r>
    <n v="1000003994"/>
    <s v="Northfield ISD #659"/>
    <x v="28"/>
    <x v="28"/>
    <s v="SNP"/>
    <x v="0"/>
    <x v="0"/>
    <n v="0"/>
    <s v="APPR"/>
    <x v="1"/>
    <m/>
    <s v="Regular"/>
    <x v="1"/>
    <m/>
    <s v="S6201"/>
    <s v=" "/>
    <s v="Resolved"/>
    <n v="4.4349999999999996"/>
    <n v="996"/>
    <n v="4417.26"/>
    <n v="46268.655147939811"/>
    <s v="MN-FSM"/>
  </r>
  <r>
    <n v="1000003994"/>
    <s v="Northfield ISD #659"/>
    <x v="29"/>
    <x v="29"/>
    <s v="SNP"/>
    <x v="0"/>
    <x v="0"/>
    <n v="0"/>
    <s v="APPR"/>
    <x v="0"/>
    <m/>
    <s v="Free"/>
    <x v="0"/>
    <m/>
    <s v="10553"/>
    <s v=" "/>
    <s v="Resolved"/>
    <n v="2.54"/>
    <n v="216"/>
    <n v="548.64"/>
    <n v="46268.655147939811"/>
    <s v="Non-severe need"/>
  </r>
  <r>
    <n v="1000003994"/>
    <s v="Northfield ISD #659"/>
    <x v="29"/>
    <x v="29"/>
    <s v="SNP"/>
    <x v="0"/>
    <x v="0"/>
    <n v="0"/>
    <s v="APPR"/>
    <x v="0"/>
    <m/>
    <s v="Reduced"/>
    <x v="0"/>
    <m/>
    <s v="10553"/>
    <s v=" "/>
    <s v="Resolved"/>
    <n v="2.2400000000000002"/>
    <n v="45"/>
    <n v="100.8"/>
    <n v="46268.655147939811"/>
    <s v="Non-severe need"/>
  </r>
  <r>
    <n v="1000003994"/>
    <s v="Northfield ISD #659"/>
    <x v="29"/>
    <x v="29"/>
    <s v="SNP"/>
    <x v="0"/>
    <x v="0"/>
    <n v="0"/>
    <s v="APPR"/>
    <x v="0"/>
    <m/>
    <s v="Regular"/>
    <x v="0"/>
    <m/>
    <s v="10553"/>
    <s v=" "/>
    <s v="Resolved"/>
    <n v="0.42"/>
    <n v="106"/>
    <n v="44.52"/>
    <n v="46268.655147939811"/>
    <s v="Non-severe need"/>
  </r>
  <r>
    <n v="1000003994"/>
    <s v="Northfield ISD #659"/>
    <x v="29"/>
    <x v="29"/>
    <s v="SNP"/>
    <x v="0"/>
    <x v="0"/>
    <n v="0"/>
    <s v="APPR"/>
    <x v="1"/>
    <m/>
    <s v="Free"/>
    <x v="0"/>
    <m/>
    <s v="10555"/>
    <s v="004"/>
    <s v="Resolved"/>
    <n v="4.3099999999999996"/>
    <n v="432"/>
    <n v="1861.92"/>
    <n v="46268.655147939811"/>
    <s v="Less than 60 percent"/>
  </r>
  <r>
    <n v="1000003994"/>
    <s v="Northfield ISD #659"/>
    <x v="29"/>
    <x v="29"/>
    <s v="SNP"/>
    <x v="0"/>
    <x v="0"/>
    <n v="0"/>
    <s v="APPR"/>
    <x v="1"/>
    <m/>
    <s v="HHFKA"/>
    <x v="0"/>
    <m/>
    <s v="10555"/>
    <s v="006"/>
    <s v="Resolved"/>
    <n v="0.09"/>
    <n v="769"/>
    <n v="69.209999999999994"/>
    <n v="46268.655147939811"/>
    <s v="Qualified"/>
  </r>
  <r>
    <n v="1000003994"/>
    <s v="Northfield ISD #659"/>
    <x v="29"/>
    <x v="29"/>
    <s v="SNP"/>
    <x v="0"/>
    <x v="0"/>
    <n v="0"/>
    <s v="APPR"/>
    <x v="1"/>
    <m/>
    <s v="Reduced"/>
    <x v="0"/>
    <m/>
    <s v="10555"/>
    <s v="004"/>
    <s v="Resolved"/>
    <n v="3.91"/>
    <n v="114"/>
    <n v="445.74"/>
    <n v="46268.655147939811"/>
    <s v="Less than 60 percent"/>
  </r>
  <r>
    <n v="1000003994"/>
    <s v="Northfield ISD #659"/>
    <x v="29"/>
    <x v="29"/>
    <s v="SNP"/>
    <x v="0"/>
    <x v="0"/>
    <n v="0"/>
    <s v="APPR"/>
    <x v="1"/>
    <m/>
    <s v="Total"/>
    <x v="0"/>
    <m/>
    <s v="10555"/>
    <s v="002"/>
    <s v="Resolved"/>
    <n v="0.45"/>
    <n v="769"/>
    <n v="346.05"/>
    <n v="46268.655147939811"/>
    <s v="Less than 60 percent"/>
  </r>
  <r>
    <n v="1000003994"/>
    <s v="Northfield ISD #659"/>
    <x v="29"/>
    <x v="29"/>
    <s v="SNP"/>
    <x v="0"/>
    <x v="0"/>
    <n v="0"/>
    <s v="APPR"/>
    <x v="0"/>
    <m/>
    <s v="Reduced"/>
    <x v="1"/>
    <m/>
    <s v="S6210"/>
    <s v=" "/>
    <s v="Resolved"/>
    <n v="0.3"/>
    <n v="45"/>
    <n v="13.5"/>
    <n v="46268.655147939811"/>
    <s v="MN-FSM"/>
  </r>
  <r>
    <n v="1000003994"/>
    <s v="Northfield ISD #659"/>
    <x v="29"/>
    <x v="29"/>
    <s v="SNP"/>
    <x v="0"/>
    <x v="0"/>
    <n v="0"/>
    <s v="APPR"/>
    <x v="0"/>
    <m/>
    <s v="Regular"/>
    <x v="1"/>
    <m/>
    <s v="S6210"/>
    <s v=" "/>
    <s v="Resolved"/>
    <n v="2.12"/>
    <n v="106"/>
    <n v="224.72"/>
    <n v="46268.655147939811"/>
    <s v="MN-FSM Non-severe Need"/>
  </r>
  <r>
    <n v="1000003994"/>
    <s v="Northfield ISD #659"/>
    <x v="29"/>
    <x v="29"/>
    <s v="SNP"/>
    <x v="0"/>
    <x v="0"/>
    <n v="0"/>
    <s v="APPR"/>
    <x v="1"/>
    <m/>
    <s v="Free"/>
    <x v="1"/>
    <m/>
    <s v="S6201"/>
    <s v=" "/>
    <s v="Resolved"/>
    <n v="0.125"/>
    <n v="432"/>
    <n v="54"/>
    <n v="46268.655147939811"/>
    <s v="MN-FSM"/>
  </r>
  <r>
    <n v="1000003994"/>
    <s v="Northfield ISD #659"/>
    <x v="29"/>
    <x v="29"/>
    <s v="SNP"/>
    <x v="0"/>
    <x v="0"/>
    <n v="0"/>
    <s v="APPR"/>
    <x v="1"/>
    <m/>
    <s v="Reduced"/>
    <x v="1"/>
    <m/>
    <s v="S6201"/>
    <s v=" "/>
    <s v="Resolved"/>
    <n v="0.52500000000000002"/>
    <n v="114"/>
    <n v="59.85"/>
    <n v="46268.655147939811"/>
    <s v="MN-FSM"/>
  </r>
  <r>
    <n v="1000003994"/>
    <s v="Northfield ISD #659"/>
    <x v="29"/>
    <x v="29"/>
    <s v="SNP"/>
    <x v="0"/>
    <x v="0"/>
    <n v="0"/>
    <s v="APPR"/>
    <x v="1"/>
    <m/>
    <s v="Regular"/>
    <x v="1"/>
    <m/>
    <s v="S6201"/>
    <s v=" "/>
    <s v="Resolved"/>
    <n v="4.4349999999999996"/>
    <n v="223"/>
    <n v="989"/>
    <n v="46268.655147939811"/>
    <s v="MN-FSM"/>
  </r>
  <r>
    <n v="1000004353"/>
    <s v="Northwestern MN Juvenile Center"/>
    <x v="30"/>
    <x v="30"/>
    <s v="SNP"/>
    <x v="0"/>
    <x v="0"/>
    <n v="0"/>
    <s v="APPR"/>
    <x v="2"/>
    <m/>
    <s v="Free"/>
    <x v="0"/>
    <m/>
    <s v="10555"/>
    <s v="SNA"/>
    <s v="Resolved"/>
    <n v="1.3"/>
    <n v="567"/>
    <n v="737.1"/>
    <n v="46268.655147939811"/>
    <s v=" "/>
  </r>
  <r>
    <n v="1000004353"/>
    <s v="Northwestern MN Juvenile Center"/>
    <x v="30"/>
    <x v="30"/>
    <s v="SNP"/>
    <x v="0"/>
    <x v="0"/>
    <n v="0"/>
    <s v="APPR"/>
    <x v="0"/>
    <m/>
    <s v="Free"/>
    <x v="0"/>
    <m/>
    <s v="10553"/>
    <s v=" "/>
    <s v="Resolved"/>
    <n v="3.05"/>
    <n v="1324"/>
    <n v="4038.2"/>
    <n v="46268.655147939811"/>
    <s v="Severe need"/>
  </r>
  <r>
    <n v="1000004353"/>
    <s v="Northwestern MN Juvenile Center"/>
    <x v="30"/>
    <x v="30"/>
    <s v="SNP"/>
    <x v="0"/>
    <x v="0"/>
    <n v="0"/>
    <s v="APPR"/>
    <x v="1"/>
    <m/>
    <s v="Free"/>
    <x v="0"/>
    <m/>
    <s v="10555"/>
    <s v="004"/>
    <s v="Resolved"/>
    <n v="4.3099999999999996"/>
    <n v="1314"/>
    <n v="5663.34"/>
    <n v="46268.655147939811"/>
    <s v="60 percent or over"/>
  </r>
  <r>
    <n v="1000004353"/>
    <s v="Northwestern MN Juvenile Center"/>
    <x v="30"/>
    <x v="30"/>
    <s v="SNP"/>
    <x v="0"/>
    <x v="0"/>
    <n v="0"/>
    <s v="APPR"/>
    <x v="1"/>
    <m/>
    <s v="HHFKA"/>
    <x v="0"/>
    <m/>
    <s v="10555"/>
    <s v="006"/>
    <s v="Resolved"/>
    <n v="0.09"/>
    <n v="1314"/>
    <n v="118.26"/>
    <n v="46268.655147939811"/>
    <s v="Qualified"/>
  </r>
  <r>
    <n v="1000004353"/>
    <s v="Northwestern MN Juvenile Center"/>
    <x v="30"/>
    <x v="30"/>
    <s v="SNP"/>
    <x v="0"/>
    <x v="0"/>
    <n v="0"/>
    <s v="APPR"/>
    <x v="1"/>
    <m/>
    <s v="Total"/>
    <x v="0"/>
    <m/>
    <s v="10555"/>
    <s v="002"/>
    <s v="Resolved"/>
    <n v="0.47"/>
    <n v="1314"/>
    <n v="617.58000000000004"/>
    <n v="46268.655147939811"/>
    <s v="60 percent or over"/>
  </r>
  <r>
    <n v="1000004353"/>
    <s v="Northwestern MN Juvenile Center"/>
    <x v="30"/>
    <x v="30"/>
    <s v="SNP"/>
    <x v="0"/>
    <x v="0"/>
    <n v="0"/>
    <s v="APPR"/>
    <x v="1"/>
    <m/>
    <s v="Free"/>
    <x v="1"/>
    <m/>
    <s v="S6201"/>
    <s v=" "/>
    <s v="Resolved"/>
    <n v="0.125"/>
    <n v="1314"/>
    <n v="164.25"/>
    <n v="46268.655147939811"/>
    <s v="MN-FSM"/>
  </r>
  <r>
    <n v="1000004387"/>
    <s v="Northwood Childrens Services"/>
    <x v="31"/>
    <x v="31"/>
    <s v="SNP"/>
    <x v="0"/>
    <x v="0"/>
    <n v="0"/>
    <s v="APPR"/>
    <x v="0"/>
    <m/>
    <s v="Free"/>
    <x v="0"/>
    <m/>
    <s v="10553"/>
    <s v=" "/>
    <s v="Resolved"/>
    <n v="3.05"/>
    <n v="799"/>
    <n v="2436.9499999999998"/>
    <n v="46268.655147939811"/>
    <s v="Severe need"/>
  </r>
  <r>
    <n v="1000004387"/>
    <s v="Northwood Childrens Services"/>
    <x v="31"/>
    <x v="31"/>
    <s v="SNP"/>
    <x v="0"/>
    <x v="0"/>
    <n v="0"/>
    <s v="APPR"/>
    <x v="1"/>
    <m/>
    <s v="Free"/>
    <x v="0"/>
    <m/>
    <s v="10555"/>
    <s v="004"/>
    <s v="Resolved"/>
    <n v="4.3099999999999996"/>
    <n v="799"/>
    <n v="3443.69"/>
    <n v="46268.655147939811"/>
    <s v="60 percent or over"/>
  </r>
  <r>
    <n v="1000004387"/>
    <s v="Northwood Childrens Services"/>
    <x v="31"/>
    <x v="31"/>
    <s v="SNP"/>
    <x v="0"/>
    <x v="0"/>
    <n v="0"/>
    <s v="APPR"/>
    <x v="1"/>
    <m/>
    <s v="HHFKA"/>
    <x v="0"/>
    <m/>
    <s v="10555"/>
    <s v="006"/>
    <s v="Resolved"/>
    <n v="0.09"/>
    <n v="799"/>
    <n v="71.91"/>
    <n v="46268.655147939811"/>
    <s v="Qualified"/>
  </r>
  <r>
    <n v="1000004387"/>
    <s v="Northwood Childrens Services"/>
    <x v="31"/>
    <x v="31"/>
    <s v="SNP"/>
    <x v="0"/>
    <x v="0"/>
    <n v="0"/>
    <s v="APPR"/>
    <x v="1"/>
    <m/>
    <s v="Total"/>
    <x v="0"/>
    <m/>
    <s v="10555"/>
    <s v="002"/>
    <s v="Resolved"/>
    <n v="0.47"/>
    <n v="799"/>
    <n v="375.53"/>
    <n v="46268.655147939811"/>
    <s v="60 percent or over"/>
  </r>
  <r>
    <n v="1000004387"/>
    <s v="Northwood Childrens Services"/>
    <x v="31"/>
    <x v="31"/>
    <s v="SNP"/>
    <x v="0"/>
    <x v="0"/>
    <n v="0"/>
    <s v="APPR"/>
    <x v="1"/>
    <m/>
    <s v="Free"/>
    <x v="1"/>
    <m/>
    <s v="S6201"/>
    <s v=" "/>
    <s v="Resolved"/>
    <n v="0.125"/>
    <n v="799"/>
    <n v="99.87"/>
    <n v="46268.655147939811"/>
    <s v="MN-FSM"/>
  </r>
  <r>
    <n v="1000004387"/>
    <s v="Northwood Childrens Services"/>
    <x v="32"/>
    <x v="32"/>
    <s v="SNP"/>
    <x v="0"/>
    <x v="0"/>
    <n v="0"/>
    <s v="APPR"/>
    <x v="0"/>
    <m/>
    <s v="Free"/>
    <x v="0"/>
    <m/>
    <s v="10553"/>
    <s v=" "/>
    <s v="Resolved"/>
    <n v="3.05"/>
    <n v="1160"/>
    <n v="3538"/>
    <n v="46268.655147939811"/>
    <s v="Severe need"/>
  </r>
  <r>
    <n v="1000004387"/>
    <s v="Northwood Childrens Services"/>
    <x v="32"/>
    <x v="32"/>
    <s v="SNP"/>
    <x v="0"/>
    <x v="0"/>
    <n v="0"/>
    <s v="APPR"/>
    <x v="0"/>
    <m/>
    <s v="Reduced"/>
    <x v="0"/>
    <m/>
    <s v="10553"/>
    <s v=" "/>
    <s v="Resolved"/>
    <n v="2.75"/>
    <n v="30"/>
    <n v="82.5"/>
    <n v="46268.655147939811"/>
    <s v="Severe need"/>
  </r>
  <r>
    <n v="1000004387"/>
    <s v="Northwood Childrens Services"/>
    <x v="32"/>
    <x v="32"/>
    <s v="SNP"/>
    <x v="0"/>
    <x v="0"/>
    <n v="0"/>
    <s v="APPR"/>
    <x v="0"/>
    <m/>
    <s v="Regular"/>
    <x v="0"/>
    <m/>
    <s v="10553"/>
    <s v=" "/>
    <s v="Resolved"/>
    <n v="0.42"/>
    <n v="84"/>
    <n v="35.28"/>
    <n v="46268.655147939811"/>
    <s v="Severe need"/>
  </r>
  <r>
    <n v="1000004387"/>
    <s v="Northwood Childrens Services"/>
    <x v="32"/>
    <x v="32"/>
    <s v="SNP"/>
    <x v="0"/>
    <x v="0"/>
    <n v="0"/>
    <s v="APPR"/>
    <x v="1"/>
    <m/>
    <s v="Free"/>
    <x v="0"/>
    <m/>
    <s v="10555"/>
    <s v="004"/>
    <s v="Resolved"/>
    <n v="4.3099999999999996"/>
    <n v="1358"/>
    <n v="5852.98"/>
    <n v="46268.655147939811"/>
    <s v="60 percent or over"/>
  </r>
  <r>
    <n v="1000004387"/>
    <s v="Northwood Childrens Services"/>
    <x v="32"/>
    <x v="32"/>
    <s v="SNP"/>
    <x v="0"/>
    <x v="0"/>
    <n v="0"/>
    <s v="APPR"/>
    <x v="1"/>
    <m/>
    <s v="HHFKA"/>
    <x v="0"/>
    <m/>
    <s v="10555"/>
    <s v="006"/>
    <s v="Resolved"/>
    <n v="0.09"/>
    <n v="1672"/>
    <n v="150.47999999999999"/>
    <n v="46268.655147939811"/>
    <s v="Qualified"/>
  </r>
  <r>
    <n v="1000004387"/>
    <s v="Northwood Childrens Services"/>
    <x v="32"/>
    <x v="32"/>
    <s v="SNP"/>
    <x v="0"/>
    <x v="0"/>
    <n v="0"/>
    <s v="APPR"/>
    <x v="1"/>
    <m/>
    <s v="Reduced"/>
    <x v="0"/>
    <m/>
    <s v="10555"/>
    <s v="004"/>
    <s v="Resolved"/>
    <n v="3.91"/>
    <n v="96"/>
    <n v="375.36"/>
    <n v="46268.655147939811"/>
    <s v="60 percent or over"/>
  </r>
  <r>
    <n v="1000004387"/>
    <s v="Northwood Childrens Services"/>
    <x v="32"/>
    <x v="32"/>
    <s v="SNP"/>
    <x v="0"/>
    <x v="0"/>
    <n v="0"/>
    <s v="APPR"/>
    <x v="1"/>
    <m/>
    <s v="Total"/>
    <x v="0"/>
    <m/>
    <s v="10555"/>
    <s v="002"/>
    <s v="Resolved"/>
    <n v="0.47"/>
    <n v="1672"/>
    <n v="785.84"/>
    <n v="46268.655147939811"/>
    <s v="60 percent or over"/>
  </r>
  <r>
    <n v="1000004387"/>
    <s v="Northwood Childrens Services"/>
    <x v="32"/>
    <x v="32"/>
    <s v="SNP"/>
    <x v="0"/>
    <x v="0"/>
    <n v="0"/>
    <s v="APPR"/>
    <x v="0"/>
    <m/>
    <s v="Reduced"/>
    <x v="1"/>
    <m/>
    <s v="S6210"/>
    <s v=" "/>
    <s v="Resolved"/>
    <n v="0.3"/>
    <n v="30"/>
    <n v="9"/>
    <n v="46268.655147939811"/>
    <s v="MN-FSM"/>
  </r>
  <r>
    <n v="1000004387"/>
    <s v="Northwood Childrens Services"/>
    <x v="32"/>
    <x v="32"/>
    <s v="SNP"/>
    <x v="0"/>
    <x v="0"/>
    <n v="0"/>
    <s v="APPR"/>
    <x v="0"/>
    <m/>
    <s v="Regular"/>
    <x v="1"/>
    <m/>
    <s v="S6210"/>
    <s v=" "/>
    <s v="Resolved"/>
    <n v="2.63"/>
    <n v="84"/>
    <n v="220.92"/>
    <n v="46268.655147939811"/>
    <s v="MN-FSM Severe Need"/>
  </r>
  <r>
    <n v="1000004387"/>
    <s v="Northwood Childrens Services"/>
    <x v="32"/>
    <x v="32"/>
    <s v="SNP"/>
    <x v="0"/>
    <x v="0"/>
    <n v="0"/>
    <s v="APPR"/>
    <x v="1"/>
    <m/>
    <s v="Free"/>
    <x v="1"/>
    <m/>
    <s v="S6201"/>
    <s v=" "/>
    <s v="Resolved"/>
    <n v="0.125"/>
    <n v="1358"/>
    <n v="169.75"/>
    <n v="46268.655147939811"/>
    <s v="MN-FSM"/>
  </r>
  <r>
    <n v="1000004387"/>
    <s v="Northwood Childrens Services"/>
    <x v="32"/>
    <x v="32"/>
    <s v="SNP"/>
    <x v="0"/>
    <x v="0"/>
    <n v="0"/>
    <s v="APPR"/>
    <x v="1"/>
    <m/>
    <s v="Reduced"/>
    <x v="1"/>
    <m/>
    <s v="S6201"/>
    <s v=" "/>
    <s v="Resolved"/>
    <n v="0.52500000000000002"/>
    <n v="96"/>
    <n v="50.4"/>
    <n v="46268.655147939811"/>
    <s v="MN-FSM"/>
  </r>
  <r>
    <n v="1000004387"/>
    <s v="Northwood Childrens Services"/>
    <x v="32"/>
    <x v="32"/>
    <s v="SNP"/>
    <x v="0"/>
    <x v="0"/>
    <n v="0"/>
    <s v="APPR"/>
    <x v="1"/>
    <m/>
    <s v="Regular"/>
    <x v="1"/>
    <m/>
    <s v="S6201"/>
    <s v=" "/>
    <s v="Resolved"/>
    <n v="4.4349999999999996"/>
    <n v="218"/>
    <n v="966.83"/>
    <n v="46268.655147939811"/>
    <s v="MN-FSM"/>
  </r>
  <r>
    <n v="1000004379"/>
    <s v="Ramsey County Community Corrections Dept"/>
    <x v="33"/>
    <x v="33"/>
    <s v="SNP"/>
    <x v="0"/>
    <x v="0"/>
    <n v="0"/>
    <s v="APPR"/>
    <x v="2"/>
    <m/>
    <s v="Free"/>
    <x v="0"/>
    <m/>
    <s v="10555"/>
    <s v="SNA"/>
    <s v="Resolved"/>
    <n v="1.3"/>
    <n v="140"/>
    <n v="182"/>
    <n v="46268.655147939811"/>
    <s v=" "/>
  </r>
  <r>
    <n v="1000004379"/>
    <s v="Ramsey County Community Corrections Dept"/>
    <x v="33"/>
    <x v="33"/>
    <s v="SNP"/>
    <x v="0"/>
    <x v="0"/>
    <n v="0"/>
    <s v="APPR"/>
    <x v="0"/>
    <m/>
    <s v="Free"/>
    <x v="0"/>
    <m/>
    <s v="10553"/>
    <s v=" "/>
    <s v="Resolved"/>
    <n v="3.05"/>
    <n v="196"/>
    <n v="597.79999999999995"/>
    <n v="46268.655147939811"/>
    <s v="Severe need"/>
  </r>
  <r>
    <n v="1000004379"/>
    <s v="Ramsey County Community Corrections Dept"/>
    <x v="33"/>
    <x v="33"/>
    <s v="SNP"/>
    <x v="0"/>
    <x v="0"/>
    <n v="0"/>
    <s v="APPR"/>
    <x v="1"/>
    <m/>
    <s v="Free"/>
    <x v="0"/>
    <m/>
    <s v="10555"/>
    <s v="004"/>
    <s v="Resolved"/>
    <n v="4.3099999999999996"/>
    <n v="191"/>
    <n v="823.21"/>
    <n v="46268.655147939811"/>
    <s v="60 percent or over"/>
  </r>
  <r>
    <n v="1000004379"/>
    <s v="Ramsey County Community Corrections Dept"/>
    <x v="33"/>
    <x v="33"/>
    <s v="SNP"/>
    <x v="0"/>
    <x v="0"/>
    <n v="0"/>
    <s v="APPR"/>
    <x v="1"/>
    <m/>
    <s v="HHFKA"/>
    <x v="0"/>
    <m/>
    <s v="10555"/>
    <s v="006"/>
    <s v="Resolved"/>
    <n v="0.09"/>
    <n v="191"/>
    <n v="17.190000000000001"/>
    <n v="46268.655147939811"/>
    <s v="Qualified"/>
  </r>
  <r>
    <n v="1000004379"/>
    <s v="Ramsey County Community Corrections Dept"/>
    <x v="33"/>
    <x v="33"/>
    <s v="SNP"/>
    <x v="0"/>
    <x v="0"/>
    <n v="0"/>
    <s v="APPR"/>
    <x v="1"/>
    <m/>
    <s v="Total"/>
    <x v="0"/>
    <m/>
    <s v="10555"/>
    <s v="002"/>
    <s v="Resolved"/>
    <n v="0.47"/>
    <n v="191"/>
    <n v="89.77"/>
    <n v="46268.655147939811"/>
    <s v="60 percent or over"/>
  </r>
  <r>
    <n v="1000004379"/>
    <s v="Ramsey County Community Corrections Dept"/>
    <x v="33"/>
    <x v="33"/>
    <s v="SNP"/>
    <x v="0"/>
    <x v="0"/>
    <n v="0"/>
    <s v="APPR"/>
    <x v="1"/>
    <m/>
    <s v="Free"/>
    <x v="1"/>
    <m/>
    <s v="S6201"/>
    <s v=" "/>
    <s v="Resolved"/>
    <n v="0.125"/>
    <n v="191"/>
    <n v="23.87"/>
    <n v="46268.655147939811"/>
    <s v="MN-FSM"/>
  </r>
  <r>
    <n v="1000003885"/>
    <s v="Richfield ISD #280"/>
    <x v="34"/>
    <x v="34"/>
    <s v="SNP"/>
    <x v="0"/>
    <x v="0"/>
    <n v="0"/>
    <s v="APPR"/>
    <x v="0"/>
    <m/>
    <s v="Free"/>
    <x v="0"/>
    <m/>
    <s v="10553"/>
    <s v=" "/>
    <s v="Resolved"/>
    <n v="3.05"/>
    <n v="58"/>
    <n v="176.9"/>
    <n v="46268.655147939811"/>
    <s v="Severe need"/>
  </r>
  <r>
    <n v="1000003885"/>
    <s v="Richfield ISD #280"/>
    <x v="34"/>
    <x v="34"/>
    <s v="SNP"/>
    <x v="0"/>
    <x v="0"/>
    <n v="0"/>
    <s v="APPR"/>
    <x v="0"/>
    <m/>
    <s v="Reduced"/>
    <x v="0"/>
    <m/>
    <s v="10553"/>
    <s v=" "/>
    <s v="Resolved"/>
    <n v="2.75"/>
    <n v="16"/>
    <n v="44"/>
    <n v="46268.655147939811"/>
    <s v="Severe need"/>
  </r>
  <r>
    <n v="1000003885"/>
    <s v="Richfield ISD #280"/>
    <x v="34"/>
    <x v="34"/>
    <s v="SNP"/>
    <x v="0"/>
    <x v="0"/>
    <n v="0"/>
    <s v="APPR"/>
    <x v="0"/>
    <m/>
    <s v="Regular"/>
    <x v="0"/>
    <m/>
    <s v="10553"/>
    <s v=" "/>
    <s v="Resolved"/>
    <n v="0.42"/>
    <n v="22"/>
    <n v="9.24"/>
    <n v="46268.655147939811"/>
    <s v="Severe need"/>
  </r>
  <r>
    <n v="1000003885"/>
    <s v="Richfield ISD #280"/>
    <x v="34"/>
    <x v="34"/>
    <s v="SNP"/>
    <x v="0"/>
    <x v="0"/>
    <n v="0"/>
    <s v="APPR"/>
    <x v="1"/>
    <m/>
    <s v="Free"/>
    <x v="0"/>
    <m/>
    <s v="10555"/>
    <s v="004"/>
    <s v="Resolved"/>
    <n v="4.3099999999999996"/>
    <n v="58"/>
    <n v="249.98"/>
    <n v="46268.655147939811"/>
    <s v="Less than 60 percent"/>
  </r>
  <r>
    <n v="1000003885"/>
    <s v="Richfield ISD #280"/>
    <x v="34"/>
    <x v="34"/>
    <s v="SNP"/>
    <x v="0"/>
    <x v="0"/>
    <n v="0"/>
    <s v="APPR"/>
    <x v="1"/>
    <m/>
    <s v="HHFKA"/>
    <x v="0"/>
    <m/>
    <s v="10555"/>
    <s v="006"/>
    <s v="Resolved"/>
    <n v="0.09"/>
    <n v="96"/>
    <n v="8.64"/>
    <n v="46268.655147939811"/>
    <s v="Qualified"/>
  </r>
  <r>
    <n v="1000003885"/>
    <s v="Richfield ISD #280"/>
    <x v="34"/>
    <x v="34"/>
    <s v="SNP"/>
    <x v="0"/>
    <x v="0"/>
    <n v="0"/>
    <s v="APPR"/>
    <x v="1"/>
    <m/>
    <s v="Reduced"/>
    <x v="0"/>
    <m/>
    <s v="10555"/>
    <s v="004"/>
    <s v="Resolved"/>
    <n v="3.91"/>
    <n v="16"/>
    <n v="62.56"/>
    <n v="46268.655147939811"/>
    <s v="Less than 60 percent"/>
  </r>
  <r>
    <n v="1000003885"/>
    <s v="Richfield ISD #280"/>
    <x v="34"/>
    <x v="34"/>
    <s v="SNP"/>
    <x v="0"/>
    <x v="0"/>
    <n v="0"/>
    <s v="APPR"/>
    <x v="1"/>
    <m/>
    <s v="Total"/>
    <x v="0"/>
    <m/>
    <s v="10555"/>
    <s v="002"/>
    <s v="Resolved"/>
    <n v="0.45"/>
    <n v="96"/>
    <n v="43.2"/>
    <n v="46268.655147939811"/>
    <s v="Less than 60 percent"/>
  </r>
  <r>
    <n v="1000003885"/>
    <s v="Richfield ISD #280"/>
    <x v="34"/>
    <x v="34"/>
    <s v="SNP"/>
    <x v="0"/>
    <x v="0"/>
    <n v="0"/>
    <s v="APPR"/>
    <x v="0"/>
    <m/>
    <s v="Reduced"/>
    <x v="1"/>
    <m/>
    <s v="S6210"/>
    <s v=" "/>
    <s v="Resolved"/>
    <n v="0.3"/>
    <n v="16"/>
    <n v="4.8"/>
    <n v="46268.655147939811"/>
    <s v="MN-FSM"/>
  </r>
  <r>
    <n v="1000003885"/>
    <s v="Richfield ISD #280"/>
    <x v="34"/>
    <x v="34"/>
    <s v="SNP"/>
    <x v="0"/>
    <x v="0"/>
    <n v="0"/>
    <s v="APPR"/>
    <x v="0"/>
    <m/>
    <s v="Regular"/>
    <x v="1"/>
    <m/>
    <s v="S6210"/>
    <s v=" "/>
    <s v="Resolved"/>
    <n v="2.63"/>
    <n v="22"/>
    <n v="57.86"/>
    <n v="46268.655147939811"/>
    <s v="MN-FSM Severe Need"/>
  </r>
  <r>
    <n v="1000003885"/>
    <s v="Richfield ISD #280"/>
    <x v="34"/>
    <x v="34"/>
    <s v="SNP"/>
    <x v="0"/>
    <x v="0"/>
    <n v="0"/>
    <s v="APPR"/>
    <x v="1"/>
    <m/>
    <s v="Free"/>
    <x v="1"/>
    <m/>
    <s v="S6201"/>
    <s v=" "/>
    <s v="Resolved"/>
    <n v="0.125"/>
    <n v="58"/>
    <n v="7.25"/>
    <n v="46268.655147939811"/>
    <s v="MN-FSM"/>
  </r>
  <r>
    <n v="1000003885"/>
    <s v="Richfield ISD #280"/>
    <x v="34"/>
    <x v="34"/>
    <s v="SNP"/>
    <x v="0"/>
    <x v="0"/>
    <n v="0"/>
    <s v="APPR"/>
    <x v="1"/>
    <m/>
    <s v="Reduced"/>
    <x v="1"/>
    <m/>
    <s v="S6201"/>
    <s v=" "/>
    <s v="Resolved"/>
    <n v="0.52500000000000002"/>
    <n v="16"/>
    <n v="8.4"/>
    <n v="46268.655147939811"/>
    <s v="MN-FSM"/>
  </r>
  <r>
    <n v="1000003885"/>
    <s v="Richfield ISD #280"/>
    <x v="34"/>
    <x v="34"/>
    <s v="SNP"/>
    <x v="0"/>
    <x v="0"/>
    <n v="0"/>
    <s v="APPR"/>
    <x v="1"/>
    <m/>
    <s v="Regular"/>
    <x v="1"/>
    <m/>
    <s v="S6201"/>
    <s v=" "/>
    <s v="Resolved"/>
    <n v="4.4349999999999996"/>
    <n v="22"/>
    <n v="97.57"/>
    <n v="46268.655147939811"/>
    <s v="MN-FSM"/>
  </r>
  <r>
    <n v="1000003701"/>
    <s v="Rochester ISD #535"/>
    <x v="35"/>
    <x v="35"/>
    <s v="SNP"/>
    <x v="0"/>
    <x v="0"/>
    <n v="0"/>
    <s v="APPR"/>
    <x v="0"/>
    <m/>
    <s v="Free"/>
    <x v="0"/>
    <m/>
    <s v="10553"/>
    <s v=" "/>
    <s v="Resolved"/>
    <n v="3.05"/>
    <n v="172"/>
    <n v="524.6"/>
    <n v="46268.655147939811"/>
    <s v="Severe need"/>
  </r>
  <r>
    <n v="1000003701"/>
    <s v="Rochester ISD #535"/>
    <x v="35"/>
    <x v="35"/>
    <s v="SNP"/>
    <x v="0"/>
    <x v="0"/>
    <n v="0"/>
    <s v="APPR"/>
    <x v="0"/>
    <m/>
    <s v="Reduced"/>
    <x v="0"/>
    <m/>
    <s v="10553"/>
    <s v=" "/>
    <s v="Resolved"/>
    <n v="2.75"/>
    <n v="207"/>
    <n v="569.25"/>
    <n v="46268.655147939811"/>
    <s v="Severe need"/>
  </r>
  <r>
    <n v="1000003701"/>
    <s v="Rochester ISD #535"/>
    <x v="35"/>
    <x v="35"/>
    <s v="SNP"/>
    <x v="0"/>
    <x v="0"/>
    <n v="0"/>
    <s v="APPR"/>
    <x v="0"/>
    <m/>
    <s v="Regular"/>
    <x v="0"/>
    <m/>
    <s v="10553"/>
    <s v=" "/>
    <s v="Resolved"/>
    <n v="0.42"/>
    <n v="204"/>
    <n v="85.68"/>
    <n v="46268.655147939811"/>
    <s v="Severe need"/>
  </r>
  <r>
    <n v="1000003701"/>
    <s v="Rochester ISD #535"/>
    <x v="35"/>
    <x v="35"/>
    <s v="SNP"/>
    <x v="0"/>
    <x v="0"/>
    <n v="0"/>
    <s v="APPR"/>
    <x v="1"/>
    <m/>
    <s v="Free"/>
    <x v="0"/>
    <m/>
    <s v="10555"/>
    <s v="004"/>
    <s v="Resolved"/>
    <n v="4.3099999999999996"/>
    <n v="439"/>
    <n v="1892.09"/>
    <n v="46268.655147939811"/>
    <s v="Less than 60 percent"/>
  </r>
  <r>
    <n v="1000003701"/>
    <s v="Rochester ISD #535"/>
    <x v="35"/>
    <x v="35"/>
    <s v="SNP"/>
    <x v="0"/>
    <x v="0"/>
    <n v="0"/>
    <s v="APPR"/>
    <x v="1"/>
    <m/>
    <s v="HHFKA"/>
    <x v="0"/>
    <m/>
    <s v="10555"/>
    <s v="006"/>
    <s v="Resolved"/>
    <n v="0.09"/>
    <n v="1395"/>
    <n v="125.55"/>
    <n v="46268.655147939811"/>
    <s v="Qualified"/>
  </r>
  <r>
    <n v="1000003701"/>
    <s v="Rochester ISD #535"/>
    <x v="35"/>
    <x v="35"/>
    <s v="SNP"/>
    <x v="0"/>
    <x v="0"/>
    <n v="0"/>
    <s v="APPR"/>
    <x v="1"/>
    <m/>
    <s v="Reduced"/>
    <x v="0"/>
    <m/>
    <s v="10555"/>
    <s v="004"/>
    <s v="Resolved"/>
    <n v="3.91"/>
    <n v="255"/>
    <n v="997.05"/>
    <n v="46268.655147939811"/>
    <s v="Less than 60 percent"/>
  </r>
  <r>
    <n v="1000003701"/>
    <s v="Rochester ISD #535"/>
    <x v="35"/>
    <x v="35"/>
    <s v="SNP"/>
    <x v="0"/>
    <x v="0"/>
    <n v="0"/>
    <s v="APPR"/>
    <x v="1"/>
    <m/>
    <s v="Total"/>
    <x v="0"/>
    <m/>
    <s v="10555"/>
    <s v="002"/>
    <s v="Resolved"/>
    <n v="0.45"/>
    <n v="1395"/>
    <n v="627.75"/>
    <n v="46268.655147939811"/>
    <s v="Less than 60 percent"/>
  </r>
  <r>
    <n v="1000003701"/>
    <s v="Rochester ISD #535"/>
    <x v="35"/>
    <x v="35"/>
    <s v="SNP"/>
    <x v="0"/>
    <x v="0"/>
    <n v="0"/>
    <s v="APPR"/>
    <x v="0"/>
    <m/>
    <s v="Reduced"/>
    <x v="1"/>
    <m/>
    <s v="S6210"/>
    <s v=" "/>
    <s v="Resolved"/>
    <n v="0.3"/>
    <n v="207"/>
    <n v="62.1"/>
    <n v="46268.655147939811"/>
    <s v="MN-FSM"/>
  </r>
  <r>
    <n v="1000003701"/>
    <s v="Rochester ISD #535"/>
    <x v="35"/>
    <x v="35"/>
    <s v="SNP"/>
    <x v="0"/>
    <x v="0"/>
    <n v="0"/>
    <s v="APPR"/>
    <x v="0"/>
    <m/>
    <s v="Regular"/>
    <x v="1"/>
    <m/>
    <s v="S6210"/>
    <s v=" "/>
    <s v="Resolved"/>
    <n v="2.63"/>
    <n v="204"/>
    <n v="536.52"/>
    <n v="46268.655147939811"/>
    <s v="MN-FSM Severe Need"/>
  </r>
  <r>
    <n v="1000003701"/>
    <s v="Rochester ISD #535"/>
    <x v="35"/>
    <x v="35"/>
    <s v="SNP"/>
    <x v="0"/>
    <x v="0"/>
    <n v="0"/>
    <s v="APPR"/>
    <x v="1"/>
    <m/>
    <s v="Free"/>
    <x v="1"/>
    <m/>
    <s v="S6201"/>
    <s v=" "/>
    <s v="Resolved"/>
    <n v="0.125"/>
    <n v="439"/>
    <n v="54.87"/>
    <n v="46268.655147939811"/>
    <s v="MN-FSM"/>
  </r>
  <r>
    <n v="1000003701"/>
    <s v="Rochester ISD #535"/>
    <x v="35"/>
    <x v="35"/>
    <s v="SNP"/>
    <x v="0"/>
    <x v="0"/>
    <n v="0"/>
    <s v="APPR"/>
    <x v="1"/>
    <m/>
    <s v="Reduced"/>
    <x v="1"/>
    <m/>
    <s v="S6201"/>
    <s v=" "/>
    <s v="Resolved"/>
    <n v="0.52500000000000002"/>
    <n v="255"/>
    <n v="133.87"/>
    <n v="46268.655147939811"/>
    <s v="MN-FSM"/>
  </r>
  <r>
    <n v="1000003701"/>
    <s v="Rochester ISD #535"/>
    <x v="35"/>
    <x v="35"/>
    <s v="SNP"/>
    <x v="0"/>
    <x v="0"/>
    <n v="0"/>
    <s v="APPR"/>
    <x v="1"/>
    <m/>
    <s v="Regular"/>
    <x v="1"/>
    <m/>
    <s v="S6201"/>
    <s v=" "/>
    <s v="Resolved"/>
    <n v="4.4349999999999996"/>
    <n v="701"/>
    <n v="3108.93"/>
    <n v="46268.655147939811"/>
    <s v="MN-FSM"/>
  </r>
  <r>
    <n v="1000003983"/>
    <s v="Roseville ISD #623"/>
    <x v="36"/>
    <x v="36"/>
    <s v="SNP"/>
    <x v="0"/>
    <x v="0"/>
    <n v="0"/>
    <s v="APPR"/>
    <x v="0"/>
    <m/>
    <s v="Free"/>
    <x v="0"/>
    <m/>
    <s v="10553"/>
    <s v=" "/>
    <s v="Resolved"/>
    <n v="3.05"/>
    <n v="1164"/>
    <n v="3550.2"/>
    <n v="46268.655147939811"/>
    <s v="Severe need"/>
  </r>
  <r>
    <n v="1000003983"/>
    <s v="Roseville ISD #623"/>
    <x v="36"/>
    <x v="36"/>
    <s v="SNP"/>
    <x v="0"/>
    <x v="0"/>
    <n v="0"/>
    <s v="APPR"/>
    <x v="0"/>
    <m/>
    <s v="Regular"/>
    <x v="0"/>
    <m/>
    <s v="10553"/>
    <s v=" "/>
    <s v="Resolved"/>
    <n v="0.42"/>
    <n v="167"/>
    <n v="70.14"/>
    <n v="46268.655147939811"/>
    <s v="Severe need"/>
  </r>
  <r>
    <n v="1000003983"/>
    <s v="Roseville ISD #623"/>
    <x v="36"/>
    <x v="36"/>
    <s v="SNP"/>
    <x v="0"/>
    <x v="0"/>
    <n v="0"/>
    <s v="APPR"/>
    <x v="1"/>
    <m/>
    <s v="Free"/>
    <x v="0"/>
    <m/>
    <s v="10555"/>
    <s v="004"/>
    <s v="Resolved"/>
    <n v="4.3099999999999996"/>
    <n v="2575"/>
    <n v="11098.25"/>
    <n v="46268.655147939811"/>
    <s v="Less than 60 percent"/>
  </r>
  <r>
    <n v="1000003983"/>
    <s v="Roseville ISD #623"/>
    <x v="36"/>
    <x v="36"/>
    <s v="SNP"/>
    <x v="0"/>
    <x v="0"/>
    <n v="0"/>
    <s v="APPR"/>
    <x v="1"/>
    <m/>
    <s v="HHFKA"/>
    <x v="0"/>
    <m/>
    <s v="10555"/>
    <s v="006"/>
    <s v="Resolved"/>
    <n v="0.09"/>
    <n v="2945"/>
    <n v="265.05"/>
    <n v="46268.655147939811"/>
    <s v="Qualified"/>
  </r>
  <r>
    <n v="1000003983"/>
    <s v="Roseville ISD #623"/>
    <x v="36"/>
    <x v="36"/>
    <s v="SNP"/>
    <x v="0"/>
    <x v="0"/>
    <n v="0"/>
    <s v="APPR"/>
    <x v="1"/>
    <m/>
    <s v="Total"/>
    <x v="0"/>
    <m/>
    <s v="10555"/>
    <s v="002"/>
    <s v="Resolved"/>
    <n v="0.45"/>
    <n v="2945"/>
    <n v="1325.25"/>
    <n v="46268.655147939811"/>
    <s v="Less than 60 percent"/>
  </r>
  <r>
    <n v="1000003983"/>
    <s v="Roseville ISD #623"/>
    <x v="36"/>
    <x v="36"/>
    <s v="SNP"/>
    <x v="0"/>
    <x v="0"/>
    <n v="0"/>
    <s v="APPR"/>
    <x v="0"/>
    <m/>
    <s v="Regular"/>
    <x v="1"/>
    <m/>
    <s v="S6210"/>
    <s v=" "/>
    <s v="Resolved"/>
    <n v="2.63"/>
    <n v="167"/>
    <n v="439.21"/>
    <n v="46268.655147939811"/>
    <s v="MN-FSM Severe Need"/>
  </r>
  <r>
    <n v="1000003983"/>
    <s v="Roseville ISD #623"/>
    <x v="36"/>
    <x v="36"/>
    <s v="SNP"/>
    <x v="0"/>
    <x v="0"/>
    <n v="0"/>
    <s v="APPR"/>
    <x v="1"/>
    <m/>
    <s v="Free"/>
    <x v="1"/>
    <m/>
    <s v="S6201"/>
    <s v=" "/>
    <s v="Resolved"/>
    <n v="0.125"/>
    <n v="2575"/>
    <n v="321.87"/>
    <n v="46268.655147939811"/>
    <s v="MN-FSM"/>
  </r>
  <r>
    <n v="1000003983"/>
    <s v="Roseville ISD #623"/>
    <x v="36"/>
    <x v="36"/>
    <s v="SNP"/>
    <x v="0"/>
    <x v="0"/>
    <n v="0"/>
    <s v="APPR"/>
    <x v="1"/>
    <m/>
    <s v="Regular"/>
    <x v="1"/>
    <m/>
    <s v="S6201"/>
    <s v=" "/>
    <s v="Resolved"/>
    <n v="4.4349999999999996"/>
    <n v="370"/>
    <n v="1640.95"/>
    <n v="46268.655147939811"/>
    <s v="MN-FSM"/>
  </r>
  <r>
    <n v="1000003983"/>
    <s v="Roseville ISD #623"/>
    <x v="37"/>
    <x v="37"/>
    <s v="SNP"/>
    <x v="0"/>
    <x v="0"/>
    <n v="0"/>
    <s v="APPR"/>
    <x v="0"/>
    <m/>
    <s v="Free"/>
    <x v="0"/>
    <m/>
    <s v="10553"/>
    <s v=" "/>
    <s v="Resolved"/>
    <n v="2.54"/>
    <n v="16"/>
    <n v="40.64"/>
    <n v="46268.655147939811"/>
    <s v="Non-severe need"/>
  </r>
  <r>
    <n v="1000003983"/>
    <s v="Roseville ISD #623"/>
    <x v="37"/>
    <x v="37"/>
    <s v="SNP"/>
    <x v="0"/>
    <x v="0"/>
    <n v="0"/>
    <s v="APPR"/>
    <x v="0"/>
    <m/>
    <s v="Regular"/>
    <x v="0"/>
    <m/>
    <s v="10553"/>
    <s v=" "/>
    <s v="Resolved"/>
    <n v="0.42"/>
    <n v="8"/>
    <n v="3.36"/>
    <n v="46268.655147939811"/>
    <s v="Non-severe need"/>
  </r>
  <r>
    <n v="1000003983"/>
    <s v="Roseville ISD #623"/>
    <x v="37"/>
    <x v="37"/>
    <s v="SNP"/>
    <x v="0"/>
    <x v="0"/>
    <n v="0"/>
    <s v="APPR"/>
    <x v="1"/>
    <m/>
    <s v="Free"/>
    <x v="0"/>
    <m/>
    <s v="10555"/>
    <s v="004"/>
    <s v="Resolved"/>
    <n v="4.3099999999999996"/>
    <n v="17"/>
    <n v="73.27"/>
    <n v="46268.655147939811"/>
    <s v="Less than 60 percent"/>
  </r>
  <r>
    <n v="1000003983"/>
    <s v="Roseville ISD #623"/>
    <x v="37"/>
    <x v="37"/>
    <s v="SNP"/>
    <x v="0"/>
    <x v="0"/>
    <n v="0"/>
    <s v="APPR"/>
    <x v="1"/>
    <m/>
    <s v="HHFKA"/>
    <x v="0"/>
    <m/>
    <s v="10555"/>
    <s v="006"/>
    <s v="Resolved"/>
    <n v="0.09"/>
    <n v="29"/>
    <n v="2.61"/>
    <n v="46268.655147939811"/>
    <s v="Qualified"/>
  </r>
  <r>
    <n v="1000003983"/>
    <s v="Roseville ISD #623"/>
    <x v="37"/>
    <x v="37"/>
    <s v="SNP"/>
    <x v="0"/>
    <x v="0"/>
    <n v="0"/>
    <s v="APPR"/>
    <x v="1"/>
    <m/>
    <s v="Total"/>
    <x v="0"/>
    <m/>
    <s v="10555"/>
    <s v="002"/>
    <s v="Resolved"/>
    <n v="0.45"/>
    <n v="29"/>
    <n v="13.05"/>
    <n v="46268.655147939811"/>
    <s v="Less than 60 percent"/>
  </r>
  <r>
    <n v="1000003983"/>
    <s v="Roseville ISD #623"/>
    <x v="37"/>
    <x v="37"/>
    <s v="SNP"/>
    <x v="0"/>
    <x v="0"/>
    <n v="0"/>
    <s v="APPR"/>
    <x v="0"/>
    <m/>
    <s v="Regular"/>
    <x v="1"/>
    <m/>
    <s v="S6210"/>
    <s v=" "/>
    <s v="Resolved"/>
    <n v="2.12"/>
    <n v="8"/>
    <n v="16.96"/>
    <n v="46268.655147939811"/>
    <s v="MN-FSM Non-severe Need"/>
  </r>
  <r>
    <n v="1000003983"/>
    <s v="Roseville ISD #623"/>
    <x v="37"/>
    <x v="37"/>
    <s v="SNP"/>
    <x v="0"/>
    <x v="0"/>
    <n v="0"/>
    <s v="APPR"/>
    <x v="1"/>
    <m/>
    <s v="Free"/>
    <x v="1"/>
    <m/>
    <s v="S6201"/>
    <s v=" "/>
    <s v="Resolved"/>
    <n v="0.125"/>
    <n v="17"/>
    <n v="2.12"/>
    <n v="46268.655147939811"/>
    <s v="MN-FSM"/>
  </r>
  <r>
    <n v="1000003983"/>
    <s v="Roseville ISD #623"/>
    <x v="37"/>
    <x v="37"/>
    <s v="SNP"/>
    <x v="0"/>
    <x v="0"/>
    <n v="0"/>
    <s v="APPR"/>
    <x v="1"/>
    <m/>
    <s v="Regular"/>
    <x v="1"/>
    <m/>
    <s v="S6201"/>
    <s v=" "/>
    <s v="Resolved"/>
    <n v="4.4349999999999996"/>
    <n v="12"/>
    <n v="53.22"/>
    <n v="46268.655147939811"/>
    <s v="MN-FSM"/>
  </r>
  <r>
    <n v="1000003983"/>
    <s v="Roseville ISD #623"/>
    <x v="38"/>
    <x v="38"/>
    <s v="SNP"/>
    <x v="0"/>
    <x v="0"/>
    <n v="0"/>
    <s v="APPR"/>
    <x v="0"/>
    <m/>
    <s v="Free"/>
    <x v="0"/>
    <m/>
    <s v="10553"/>
    <s v=" "/>
    <s v="Resolved"/>
    <n v="3.05"/>
    <n v="65"/>
    <n v="198.25"/>
    <n v="46268.655147939811"/>
    <s v="Severe need"/>
  </r>
  <r>
    <n v="1000003983"/>
    <s v="Roseville ISD #623"/>
    <x v="38"/>
    <x v="38"/>
    <s v="SNP"/>
    <x v="0"/>
    <x v="0"/>
    <n v="0"/>
    <s v="APPR"/>
    <x v="0"/>
    <m/>
    <s v="Reduced"/>
    <x v="0"/>
    <m/>
    <s v="10553"/>
    <s v=" "/>
    <s v="Resolved"/>
    <n v="2.75"/>
    <n v="13"/>
    <n v="35.75"/>
    <n v="46268.655147939811"/>
    <s v="Severe need"/>
  </r>
  <r>
    <n v="1000003983"/>
    <s v="Roseville ISD #623"/>
    <x v="38"/>
    <x v="38"/>
    <s v="SNP"/>
    <x v="0"/>
    <x v="0"/>
    <n v="0"/>
    <s v="APPR"/>
    <x v="0"/>
    <m/>
    <s v="Regular"/>
    <x v="0"/>
    <m/>
    <s v="10553"/>
    <s v=" "/>
    <s v="Resolved"/>
    <n v="0.42"/>
    <n v="105"/>
    <n v="44.1"/>
    <n v="46268.655147939811"/>
    <s v="Severe need"/>
  </r>
  <r>
    <n v="1000003983"/>
    <s v="Roseville ISD #623"/>
    <x v="38"/>
    <x v="38"/>
    <s v="SNP"/>
    <x v="0"/>
    <x v="0"/>
    <n v="0"/>
    <s v="APPR"/>
    <x v="1"/>
    <m/>
    <s v="Free"/>
    <x v="0"/>
    <m/>
    <s v="10555"/>
    <s v="004"/>
    <s v="Resolved"/>
    <n v="4.3099999999999996"/>
    <n v="64"/>
    <n v="275.83999999999997"/>
    <n v="46268.655147939811"/>
    <s v="Less than 60 percent"/>
  </r>
  <r>
    <n v="1000003983"/>
    <s v="Roseville ISD #623"/>
    <x v="38"/>
    <x v="38"/>
    <s v="SNP"/>
    <x v="0"/>
    <x v="0"/>
    <n v="0"/>
    <s v="APPR"/>
    <x v="1"/>
    <m/>
    <s v="HHFKA"/>
    <x v="0"/>
    <m/>
    <s v="10555"/>
    <s v="006"/>
    <s v="Resolved"/>
    <n v="0.09"/>
    <n v="182"/>
    <n v="16.38"/>
    <n v="46268.655147939811"/>
    <s v="Qualified"/>
  </r>
  <r>
    <n v="1000003983"/>
    <s v="Roseville ISD #623"/>
    <x v="38"/>
    <x v="38"/>
    <s v="SNP"/>
    <x v="0"/>
    <x v="0"/>
    <n v="0"/>
    <s v="APPR"/>
    <x v="1"/>
    <m/>
    <s v="Reduced"/>
    <x v="0"/>
    <m/>
    <s v="10555"/>
    <s v="004"/>
    <s v="Resolved"/>
    <n v="3.91"/>
    <n v="14"/>
    <n v="54.74"/>
    <n v="46268.655147939811"/>
    <s v="Less than 60 percent"/>
  </r>
  <r>
    <n v="1000003983"/>
    <s v="Roseville ISD #623"/>
    <x v="38"/>
    <x v="38"/>
    <s v="SNP"/>
    <x v="0"/>
    <x v="0"/>
    <n v="0"/>
    <s v="APPR"/>
    <x v="1"/>
    <m/>
    <s v="Total"/>
    <x v="0"/>
    <m/>
    <s v="10555"/>
    <s v="002"/>
    <s v="Resolved"/>
    <n v="0.45"/>
    <n v="182"/>
    <n v="81.900000000000006"/>
    <n v="46268.655147939811"/>
    <s v="Less than 60 percent"/>
  </r>
  <r>
    <n v="1000003983"/>
    <s v="Roseville ISD #623"/>
    <x v="38"/>
    <x v="38"/>
    <s v="SNP"/>
    <x v="0"/>
    <x v="0"/>
    <n v="0"/>
    <s v="APPR"/>
    <x v="0"/>
    <m/>
    <s v="Reduced"/>
    <x v="1"/>
    <m/>
    <s v="S6210"/>
    <s v=" "/>
    <s v="Resolved"/>
    <n v="0.3"/>
    <n v="13"/>
    <n v="3.9"/>
    <n v="46268.655147939811"/>
    <s v="MN-FSM"/>
  </r>
  <r>
    <n v="1000003983"/>
    <s v="Roseville ISD #623"/>
    <x v="38"/>
    <x v="38"/>
    <s v="SNP"/>
    <x v="0"/>
    <x v="0"/>
    <n v="0"/>
    <s v="APPR"/>
    <x v="0"/>
    <m/>
    <s v="Regular"/>
    <x v="1"/>
    <m/>
    <s v="S6210"/>
    <s v=" "/>
    <s v="Resolved"/>
    <n v="2.63"/>
    <n v="105"/>
    <n v="276.14999999999998"/>
    <n v="46268.655147939811"/>
    <s v="MN-FSM Severe Need"/>
  </r>
  <r>
    <n v="1000003983"/>
    <s v="Roseville ISD #623"/>
    <x v="38"/>
    <x v="38"/>
    <s v="SNP"/>
    <x v="0"/>
    <x v="0"/>
    <n v="0"/>
    <s v="APPR"/>
    <x v="1"/>
    <m/>
    <s v="Free"/>
    <x v="1"/>
    <m/>
    <s v="S6201"/>
    <s v=" "/>
    <s v="Resolved"/>
    <n v="0.125"/>
    <n v="64"/>
    <n v="8"/>
    <n v="46268.655147939811"/>
    <s v="MN-FSM"/>
  </r>
  <r>
    <n v="1000003983"/>
    <s v="Roseville ISD #623"/>
    <x v="38"/>
    <x v="38"/>
    <s v="SNP"/>
    <x v="0"/>
    <x v="0"/>
    <n v="0"/>
    <s v="APPR"/>
    <x v="1"/>
    <m/>
    <s v="Reduced"/>
    <x v="1"/>
    <m/>
    <s v="S6201"/>
    <s v=" "/>
    <s v="Resolved"/>
    <n v="0.52500000000000002"/>
    <n v="14"/>
    <n v="7.35"/>
    <n v="46268.655147939811"/>
    <s v="MN-FSM"/>
  </r>
  <r>
    <n v="1000003983"/>
    <s v="Roseville ISD #623"/>
    <x v="38"/>
    <x v="38"/>
    <s v="SNP"/>
    <x v="0"/>
    <x v="0"/>
    <n v="0"/>
    <s v="APPR"/>
    <x v="1"/>
    <m/>
    <s v="Regular"/>
    <x v="1"/>
    <m/>
    <s v="S6201"/>
    <s v=" "/>
    <s v="Resolved"/>
    <n v="4.4349999999999996"/>
    <n v="104"/>
    <n v="461.24"/>
    <n v="46268.655147939811"/>
    <s v="MN-FSM"/>
  </r>
  <r>
    <n v="1000004011"/>
    <s v="Shakopee ISD #720"/>
    <x v="39"/>
    <x v="39"/>
    <s v="SNP"/>
    <x v="0"/>
    <x v="0"/>
    <n v="0"/>
    <s v="APPR"/>
    <x v="0"/>
    <m/>
    <s v="Free"/>
    <x v="0"/>
    <m/>
    <s v="10553"/>
    <s v=" "/>
    <s v="Resolved"/>
    <n v="3.05"/>
    <n v="359"/>
    <n v="1094.95"/>
    <n v="46268.655147939811"/>
    <s v="Severe need"/>
  </r>
  <r>
    <n v="1000004011"/>
    <s v="Shakopee ISD #720"/>
    <x v="39"/>
    <x v="39"/>
    <s v="SNP"/>
    <x v="0"/>
    <x v="0"/>
    <n v="0"/>
    <s v="APPR"/>
    <x v="0"/>
    <m/>
    <s v="Reduced"/>
    <x v="0"/>
    <m/>
    <s v="10553"/>
    <s v=" "/>
    <s v="Resolved"/>
    <n v="2.75"/>
    <n v="66"/>
    <n v="181.5"/>
    <n v="46268.655147939811"/>
    <s v="Severe need"/>
  </r>
  <r>
    <n v="1000004011"/>
    <s v="Shakopee ISD #720"/>
    <x v="39"/>
    <x v="39"/>
    <s v="SNP"/>
    <x v="0"/>
    <x v="0"/>
    <n v="0"/>
    <s v="APPR"/>
    <x v="0"/>
    <m/>
    <s v="Regular"/>
    <x v="0"/>
    <m/>
    <s v="10553"/>
    <s v=" "/>
    <s v="Resolved"/>
    <n v="0.42"/>
    <n v="471"/>
    <n v="197.82"/>
    <n v="46268.655147939811"/>
    <s v="Severe need"/>
  </r>
  <r>
    <n v="1000004011"/>
    <s v="Shakopee ISD #720"/>
    <x v="39"/>
    <x v="39"/>
    <s v="SNP"/>
    <x v="0"/>
    <x v="0"/>
    <n v="0"/>
    <s v="APPR"/>
    <x v="1"/>
    <m/>
    <s v="Free"/>
    <x v="0"/>
    <m/>
    <s v="10555"/>
    <s v="004"/>
    <s v="Resolved"/>
    <n v="4.3099999999999996"/>
    <n v="614"/>
    <n v="2646.34"/>
    <n v="46268.655147939811"/>
    <s v="Less than 60 percent"/>
  </r>
  <r>
    <n v="1000004011"/>
    <s v="Shakopee ISD #720"/>
    <x v="39"/>
    <x v="39"/>
    <s v="SNP"/>
    <x v="0"/>
    <x v="0"/>
    <n v="0"/>
    <s v="APPR"/>
    <x v="1"/>
    <m/>
    <s v="HHFKA"/>
    <x v="0"/>
    <m/>
    <s v="10555"/>
    <s v="006"/>
    <s v="Resolved"/>
    <n v="0.09"/>
    <n v="1558"/>
    <n v="140.22"/>
    <n v="46268.655147939811"/>
    <s v="Qualified"/>
  </r>
  <r>
    <n v="1000004011"/>
    <s v="Shakopee ISD #720"/>
    <x v="39"/>
    <x v="39"/>
    <s v="SNP"/>
    <x v="0"/>
    <x v="0"/>
    <n v="0"/>
    <s v="APPR"/>
    <x v="1"/>
    <m/>
    <s v="Reduced"/>
    <x v="0"/>
    <m/>
    <s v="10555"/>
    <s v="004"/>
    <s v="Resolved"/>
    <n v="3.91"/>
    <n v="140"/>
    <n v="547.4"/>
    <n v="46268.655147939811"/>
    <s v="Less than 60 percent"/>
  </r>
  <r>
    <n v="1000004011"/>
    <s v="Shakopee ISD #720"/>
    <x v="39"/>
    <x v="39"/>
    <s v="SNP"/>
    <x v="0"/>
    <x v="0"/>
    <n v="0"/>
    <s v="APPR"/>
    <x v="1"/>
    <m/>
    <s v="Total"/>
    <x v="0"/>
    <m/>
    <s v="10555"/>
    <s v="002"/>
    <s v="Resolved"/>
    <n v="0.45"/>
    <n v="1558"/>
    <n v="701.1"/>
    <n v="46268.655147939811"/>
    <s v="Less than 60 percent"/>
  </r>
  <r>
    <n v="1000004011"/>
    <s v="Shakopee ISD #720"/>
    <x v="39"/>
    <x v="39"/>
    <s v="SNP"/>
    <x v="0"/>
    <x v="0"/>
    <n v="0"/>
    <s v="APPR"/>
    <x v="0"/>
    <m/>
    <s v="Reduced"/>
    <x v="1"/>
    <m/>
    <s v="S6210"/>
    <s v=" "/>
    <s v="Resolved"/>
    <n v="0.3"/>
    <n v="66"/>
    <n v="19.8"/>
    <n v="46268.655147939811"/>
    <s v="MN-FSM"/>
  </r>
  <r>
    <n v="1000004011"/>
    <s v="Shakopee ISD #720"/>
    <x v="39"/>
    <x v="39"/>
    <s v="SNP"/>
    <x v="0"/>
    <x v="0"/>
    <n v="0"/>
    <s v="APPR"/>
    <x v="0"/>
    <m/>
    <s v="Regular"/>
    <x v="1"/>
    <m/>
    <s v="S6210"/>
    <s v=" "/>
    <s v="Resolved"/>
    <n v="2.63"/>
    <n v="471"/>
    <n v="1238.73"/>
    <n v="46268.655147939811"/>
    <s v="MN-FSM Severe Need"/>
  </r>
  <r>
    <n v="1000004011"/>
    <s v="Shakopee ISD #720"/>
    <x v="39"/>
    <x v="39"/>
    <s v="SNP"/>
    <x v="0"/>
    <x v="0"/>
    <n v="0"/>
    <s v="APPR"/>
    <x v="1"/>
    <m/>
    <s v="Free"/>
    <x v="1"/>
    <m/>
    <s v="S6201"/>
    <s v=" "/>
    <s v="Resolved"/>
    <n v="0.125"/>
    <n v="614"/>
    <n v="76.75"/>
    <n v="46268.655147939811"/>
    <s v="MN-FSM"/>
  </r>
  <r>
    <n v="1000004011"/>
    <s v="Shakopee ISD #720"/>
    <x v="39"/>
    <x v="39"/>
    <s v="SNP"/>
    <x v="0"/>
    <x v="0"/>
    <n v="0"/>
    <s v="APPR"/>
    <x v="1"/>
    <m/>
    <s v="Reduced"/>
    <x v="1"/>
    <m/>
    <s v="S6201"/>
    <s v=" "/>
    <s v="Resolved"/>
    <n v="0.52500000000000002"/>
    <n v="140"/>
    <n v="73.5"/>
    <n v="46268.655147939811"/>
    <s v="MN-FSM"/>
  </r>
  <r>
    <n v="1000004011"/>
    <s v="Shakopee ISD #720"/>
    <x v="39"/>
    <x v="39"/>
    <s v="SNP"/>
    <x v="0"/>
    <x v="0"/>
    <n v="0"/>
    <s v="APPR"/>
    <x v="1"/>
    <m/>
    <s v="Regular"/>
    <x v="1"/>
    <m/>
    <s v="S6201"/>
    <s v=" "/>
    <s v="Resolved"/>
    <n v="4.4349999999999996"/>
    <n v="804"/>
    <n v="3565.74"/>
    <n v="46268.655147939811"/>
    <s v="MN-FSM"/>
  </r>
  <r>
    <n v="1000004011"/>
    <s v="Shakopee ISD #720"/>
    <x v="40"/>
    <x v="40"/>
    <s v="SNP"/>
    <x v="0"/>
    <x v="0"/>
    <n v="0"/>
    <s v="APPR"/>
    <x v="0"/>
    <m/>
    <s v="Free"/>
    <x v="0"/>
    <m/>
    <s v="10553"/>
    <s v=" "/>
    <s v="Resolved"/>
    <n v="2.54"/>
    <n v="496"/>
    <n v="1259.8399999999999"/>
    <n v="46268.655147939811"/>
    <s v="Non-severe need"/>
  </r>
  <r>
    <n v="1000004011"/>
    <s v="Shakopee ISD #720"/>
    <x v="40"/>
    <x v="40"/>
    <s v="SNP"/>
    <x v="0"/>
    <x v="0"/>
    <n v="0"/>
    <s v="APPR"/>
    <x v="0"/>
    <m/>
    <s v="Reduced"/>
    <x v="0"/>
    <m/>
    <s v="10553"/>
    <s v=" "/>
    <s v="Resolved"/>
    <n v="2.2400000000000002"/>
    <n v="103"/>
    <n v="230.72"/>
    <n v="46268.655147939811"/>
    <s v="Non-severe need"/>
  </r>
  <r>
    <n v="1000004011"/>
    <s v="Shakopee ISD #720"/>
    <x v="40"/>
    <x v="40"/>
    <s v="SNP"/>
    <x v="0"/>
    <x v="0"/>
    <n v="0"/>
    <s v="APPR"/>
    <x v="0"/>
    <m/>
    <s v="Regular"/>
    <x v="0"/>
    <m/>
    <s v="10553"/>
    <s v=" "/>
    <s v="Resolved"/>
    <n v="0.42"/>
    <n v="271"/>
    <n v="113.82"/>
    <n v="46268.655147939811"/>
    <s v="Non-severe need"/>
  </r>
  <r>
    <n v="1000004011"/>
    <s v="Shakopee ISD #720"/>
    <x v="40"/>
    <x v="40"/>
    <s v="SNP"/>
    <x v="0"/>
    <x v="0"/>
    <n v="0"/>
    <s v="APPR"/>
    <x v="1"/>
    <m/>
    <s v="Free"/>
    <x v="0"/>
    <m/>
    <s v="10555"/>
    <s v="004"/>
    <s v="Resolved"/>
    <n v="4.3099999999999996"/>
    <n v="943"/>
    <n v="4064.33"/>
    <n v="46268.655147939811"/>
    <s v="Less than 60 percent"/>
  </r>
  <r>
    <n v="1000004011"/>
    <s v="Shakopee ISD #720"/>
    <x v="40"/>
    <x v="40"/>
    <s v="SNP"/>
    <x v="0"/>
    <x v="0"/>
    <n v="0"/>
    <s v="APPR"/>
    <x v="1"/>
    <m/>
    <s v="HHFKA"/>
    <x v="0"/>
    <m/>
    <s v="10555"/>
    <s v="006"/>
    <s v="Resolved"/>
    <n v="0.09"/>
    <n v="1673"/>
    <n v="150.57"/>
    <n v="46268.655147939811"/>
    <s v="Qualified"/>
  </r>
  <r>
    <n v="1000004011"/>
    <s v="Shakopee ISD #720"/>
    <x v="40"/>
    <x v="40"/>
    <s v="SNP"/>
    <x v="0"/>
    <x v="0"/>
    <n v="0"/>
    <s v="APPR"/>
    <x v="1"/>
    <m/>
    <s v="Reduced"/>
    <x v="0"/>
    <m/>
    <s v="10555"/>
    <s v="004"/>
    <s v="Resolved"/>
    <n v="3.91"/>
    <n v="192"/>
    <n v="750.72"/>
    <n v="46268.655147939811"/>
    <s v="Less than 60 percent"/>
  </r>
  <r>
    <n v="1000004011"/>
    <s v="Shakopee ISD #720"/>
    <x v="40"/>
    <x v="40"/>
    <s v="SNP"/>
    <x v="0"/>
    <x v="0"/>
    <n v="0"/>
    <s v="APPR"/>
    <x v="1"/>
    <m/>
    <s v="Total"/>
    <x v="0"/>
    <m/>
    <s v="10555"/>
    <s v="002"/>
    <s v="Resolved"/>
    <n v="0.45"/>
    <n v="1673"/>
    <n v="752.85"/>
    <n v="46268.655147939811"/>
    <s v="Less than 60 percent"/>
  </r>
  <r>
    <n v="1000004011"/>
    <s v="Shakopee ISD #720"/>
    <x v="40"/>
    <x v="40"/>
    <s v="SNP"/>
    <x v="0"/>
    <x v="0"/>
    <n v="0"/>
    <s v="APPR"/>
    <x v="0"/>
    <m/>
    <s v="Reduced"/>
    <x v="1"/>
    <m/>
    <s v="S6210"/>
    <s v=" "/>
    <s v="Resolved"/>
    <n v="0.3"/>
    <n v="103"/>
    <n v="30.9"/>
    <n v="46268.655147939811"/>
    <s v="MN-FSM"/>
  </r>
  <r>
    <n v="1000004011"/>
    <s v="Shakopee ISD #720"/>
    <x v="40"/>
    <x v="40"/>
    <s v="SNP"/>
    <x v="0"/>
    <x v="0"/>
    <n v="0"/>
    <s v="APPR"/>
    <x v="0"/>
    <m/>
    <s v="Regular"/>
    <x v="1"/>
    <m/>
    <s v="S6210"/>
    <s v=" "/>
    <s v="Resolved"/>
    <n v="2.12"/>
    <n v="271"/>
    <n v="574.52"/>
    <n v="46268.655147939811"/>
    <s v="MN-FSM Non-severe Need"/>
  </r>
  <r>
    <n v="1000004011"/>
    <s v="Shakopee ISD #720"/>
    <x v="40"/>
    <x v="40"/>
    <s v="SNP"/>
    <x v="0"/>
    <x v="0"/>
    <n v="0"/>
    <s v="APPR"/>
    <x v="1"/>
    <m/>
    <s v="Free"/>
    <x v="1"/>
    <m/>
    <s v="S6201"/>
    <s v=" "/>
    <s v="Resolved"/>
    <n v="0.125"/>
    <n v="943"/>
    <n v="117.87"/>
    <n v="46268.655147939811"/>
    <s v="MN-FSM"/>
  </r>
  <r>
    <n v="1000004011"/>
    <s v="Shakopee ISD #720"/>
    <x v="40"/>
    <x v="40"/>
    <s v="SNP"/>
    <x v="0"/>
    <x v="0"/>
    <n v="0"/>
    <s v="APPR"/>
    <x v="1"/>
    <m/>
    <s v="Reduced"/>
    <x v="1"/>
    <m/>
    <s v="S6201"/>
    <s v=" "/>
    <s v="Resolved"/>
    <n v="0.52500000000000002"/>
    <n v="192"/>
    <n v="100.8"/>
    <n v="46268.655147939811"/>
    <s v="MN-FSM"/>
  </r>
  <r>
    <n v="1000004011"/>
    <s v="Shakopee ISD #720"/>
    <x v="40"/>
    <x v="40"/>
    <s v="SNP"/>
    <x v="0"/>
    <x v="0"/>
    <n v="0"/>
    <s v="APPR"/>
    <x v="1"/>
    <m/>
    <s v="Regular"/>
    <x v="1"/>
    <m/>
    <s v="S6201"/>
    <s v=" "/>
    <s v="Resolved"/>
    <n v="4.4349999999999996"/>
    <n v="538"/>
    <n v="2386.0300000000002"/>
    <n v="46268.655147939811"/>
    <s v="MN-FSM"/>
  </r>
  <r>
    <n v="1000004011"/>
    <s v="Shakopee ISD #720"/>
    <x v="41"/>
    <x v="41"/>
    <s v="SNP"/>
    <x v="0"/>
    <x v="0"/>
    <n v="0"/>
    <s v="APPR"/>
    <x v="0"/>
    <m/>
    <s v="Free"/>
    <x v="0"/>
    <m/>
    <s v="10553"/>
    <s v=" "/>
    <s v="Resolved"/>
    <n v="3.05"/>
    <n v="607"/>
    <n v="1851.35"/>
    <n v="46268.655147939811"/>
    <s v="Severe need"/>
  </r>
  <r>
    <n v="1000004011"/>
    <s v="Shakopee ISD #720"/>
    <x v="41"/>
    <x v="41"/>
    <s v="SNP"/>
    <x v="0"/>
    <x v="0"/>
    <n v="0"/>
    <s v="APPR"/>
    <x v="0"/>
    <m/>
    <s v="Reduced"/>
    <x v="0"/>
    <m/>
    <s v="10553"/>
    <s v=" "/>
    <s v="Resolved"/>
    <n v="2.75"/>
    <n v="247"/>
    <n v="679.25"/>
    <n v="46268.655147939811"/>
    <s v="Severe need"/>
  </r>
  <r>
    <n v="1000004011"/>
    <s v="Shakopee ISD #720"/>
    <x v="41"/>
    <x v="41"/>
    <s v="SNP"/>
    <x v="0"/>
    <x v="0"/>
    <n v="0"/>
    <s v="APPR"/>
    <x v="0"/>
    <m/>
    <s v="Regular"/>
    <x v="0"/>
    <m/>
    <s v="10553"/>
    <s v=" "/>
    <s v="Resolved"/>
    <n v="0.42"/>
    <n v="699"/>
    <n v="293.58"/>
    <n v="46268.655147939811"/>
    <s v="Severe need"/>
  </r>
  <r>
    <n v="1000004011"/>
    <s v="Shakopee ISD #720"/>
    <x v="41"/>
    <x v="41"/>
    <s v="SNP"/>
    <x v="0"/>
    <x v="0"/>
    <n v="0"/>
    <s v="APPR"/>
    <x v="1"/>
    <m/>
    <s v="Free"/>
    <x v="0"/>
    <m/>
    <s v="10555"/>
    <s v="004"/>
    <s v="Resolved"/>
    <n v="4.3099999999999996"/>
    <n v="1507"/>
    <n v="6495.17"/>
    <n v="46268.655147939811"/>
    <s v="Less than 60 percent"/>
  </r>
  <r>
    <n v="1000004011"/>
    <s v="Shakopee ISD #720"/>
    <x v="41"/>
    <x v="41"/>
    <s v="SNP"/>
    <x v="0"/>
    <x v="0"/>
    <n v="0"/>
    <s v="APPR"/>
    <x v="1"/>
    <m/>
    <s v="HHFKA"/>
    <x v="0"/>
    <m/>
    <s v="10555"/>
    <s v="006"/>
    <s v="Resolved"/>
    <n v="0.09"/>
    <n v="3607"/>
    <n v="324.63"/>
    <n v="46268.655147939811"/>
    <s v="Qualified"/>
  </r>
  <r>
    <n v="1000004011"/>
    <s v="Shakopee ISD #720"/>
    <x v="41"/>
    <x v="41"/>
    <s v="SNP"/>
    <x v="0"/>
    <x v="0"/>
    <n v="0"/>
    <s v="APPR"/>
    <x v="1"/>
    <m/>
    <s v="Reduced"/>
    <x v="0"/>
    <m/>
    <s v="10555"/>
    <s v="004"/>
    <s v="Resolved"/>
    <n v="3.91"/>
    <n v="440"/>
    <n v="1720.4"/>
    <n v="46268.655147939811"/>
    <s v="Less than 60 percent"/>
  </r>
  <r>
    <n v="1000004011"/>
    <s v="Shakopee ISD #720"/>
    <x v="41"/>
    <x v="41"/>
    <s v="SNP"/>
    <x v="0"/>
    <x v="0"/>
    <n v="0"/>
    <s v="APPR"/>
    <x v="1"/>
    <m/>
    <s v="Total"/>
    <x v="0"/>
    <m/>
    <s v="10555"/>
    <s v="002"/>
    <s v="Resolved"/>
    <n v="0.45"/>
    <n v="3607"/>
    <n v="1623.15"/>
    <n v="46268.655147939811"/>
    <s v="Less than 60 percent"/>
  </r>
  <r>
    <n v="1000004011"/>
    <s v="Shakopee ISD #720"/>
    <x v="41"/>
    <x v="41"/>
    <s v="SNP"/>
    <x v="0"/>
    <x v="0"/>
    <n v="0"/>
    <s v="APPR"/>
    <x v="0"/>
    <m/>
    <s v="Reduced"/>
    <x v="1"/>
    <m/>
    <s v="S6210"/>
    <s v=" "/>
    <s v="Resolved"/>
    <n v="0.3"/>
    <n v="247"/>
    <n v="74.099999999999994"/>
    <n v="46268.655147939811"/>
    <s v="MN-FSM"/>
  </r>
  <r>
    <n v="1000004011"/>
    <s v="Shakopee ISD #720"/>
    <x v="41"/>
    <x v="41"/>
    <s v="SNP"/>
    <x v="0"/>
    <x v="0"/>
    <n v="0"/>
    <s v="APPR"/>
    <x v="0"/>
    <m/>
    <s v="Regular"/>
    <x v="1"/>
    <m/>
    <s v="S6210"/>
    <s v=" "/>
    <s v="Resolved"/>
    <n v="2.63"/>
    <n v="699"/>
    <n v="1838.37"/>
    <n v="46268.655147939811"/>
    <s v="MN-FSM Severe Need"/>
  </r>
  <r>
    <n v="1000004011"/>
    <s v="Shakopee ISD #720"/>
    <x v="41"/>
    <x v="41"/>
    <s v="SNP"/>
    <x v="0"/>
    <x v="0"/>
    <n v="0"/>
    <s v="APPR"/>
    <x v="1"/>
    <m/>
    <s v="Free"/>
    <x v="1"/>
    <m/>
    <s v="S6201"/>
    <s v=" "/>
    <s v="Resolved"/>
    <n v="0.125"/>
    <n v="1507"/>
    <n v="188.37"/>
    <n v="46268.655147939811"/>
    <s v="MN-FSM"/>
  </r>
  <r>
    <n v="1000004011"/>
    <s v="Shakopee ISD #720"/>
    <x v="41"/>
    <x v="41"/>
    <s v="SNP"/>
    <x v="0"/>
    <x v="0"/>
    <n v="0"/>
    <s v="APPR"/>
    <x v="1"/>
    <m/>
    <s v="Reduced"/>
    <x v="1"/>
    <m/>
    <s v="S6201"/>
    <s v=" "/>
    <s v="Resolved"/>
    <n v="0.52500000000000002"/>
    <n v="440"/>
    <n v="231"/>
    <n v="46268.655147939811"/>
    <s v="MN-FSM"/>
  </r>
  <r>
    <n v="1000004011"/>
    <s v="Shakopee ISD #720"/>
    <x v="41"/>
    <x v="41"/>
    <s v="SNP"/>
    <x v="0"/>
    <x v="0"/>
    <n v="0"/>
    <s v="APPR"/>
    <x v="1"/>
    <m/>
    <s v="Regular"/>
    <x v="1"/>
    <m/>
    <s v="S6201"/>
    <s v=" "/>
    <s v="Resolved"/>
    <n v="4.4349999999999996"/>
    <n v="1660"/>
    <n v="7362.1"/>
    <n v="46268.655147939811"/>
    <s v="MN-FSM"/>
  </r>
  <r>
    <n v="1000004046"/>
    <s v="South Washington County ISD #833"/>
    <x v="42"/>
    <x v="42"/>
    <s v="SNP"/>
    <x v="0"/>
    <x v="0"/>
    <n v="0"/>
    <s v="APPR"/>
    <x v="0"/>
    <m/>
    <s v="Free"/>
    <x v="0"/>
    <m/>
    <s v="10553"/>
    <s v=" "/>
    <s v="Resolved"/>
    <n v="2.54"/>
    <n v="1140"/>
    <n v="2895.6"/>
    <n v="46268.655147939811"/>
    <s v="Non-severe need"/>
  </r>
  <r>
    <n v="1000004046"/>
    <s v="South Washington County ISD #833"/>
    <x v="42"/>
    <x v="42"/>
    <s v="SNP"/>
    <x v="0"/>
    <x v="0"/>
    <n v="0"/>
    <s v="APPR"/>
    <x v="0"/>
    <m/>
    <s v="Reduced"/>
    <x v="0"/>
    <m/>
    <s v="10553"/>
    <s v=" "/>
    <s v="Resolved"/>
    <n v="2.2400000000000002"/>
    <n v="431"/>
    <n v="965.44"/>
    <n v="46268.655147939811"/>
    <s v="Non-severe need"/>
  </r>
  <r>
    <n v="1000004046"/>
    <s v="South Washington County ISD #833"/>
    <x v="42"/>
    <x v="42"/>
    <s v="SNP"/>
    <x v="0"/>
    <x v="0"/>
    <n v="0"/>
    <s v="APPR"/>
    <x v="0"/>
    <m/>
    <s v="Regular"/>
    <x v="0"/>
    <m/>
    <s v="10553"/>
    <s v=" "/>
    <s v="Resolved"/>
    <n v="0.42"/>
    <n v="2180"/>
    <n v="915.6"/>
    <n v="46268.655147939811"/>
    <s v="Non-severe need"/>
  </r>
  <r>
    <n v="1000004046"/>
    <s v="South Washington County ISD #833"/>
    <x v="42"/>
    <x v="42"/>
    <s v="SNP"/>
    <x v="0"/>
    <x v="0"/>
    <n v="0"/>
    <s v="APPR"/>
    <x v="1"/>
    <m/>
    <s v="Free"/>
    <x v="0"/>
    <m/>
    <s v="10555"/>
    <s v="004"/>
    <s v="Resolved"/>
    <n v="4.3099999999999996"/>
    <n v="1021"/>
    <n v="4400.51"/>
    <n v="46268.655147939811"/>
    <s v="Less than 60 percent"/>
  </r>
  <r>
    <n v="1000004046"/>
    <s v="South Washington County ISD #833"/>
    <x v="42"/>
    <x v="42"/>
    <s v="SNP"/>
    <x v="0"/>
    <x v="0"/>
    <n v="0"/>
    <s v="APPR"/>
    <x v="1"/>
    <m/>
    <s v="HHFKA"/>
    <x v="0"/>
    <m/>
    <s v="10555"/>
    <s v="006"/>
    <s v="Resolved"/>
    <n v="0.09"/>
    <n v="3512"/>
    <n v="316.08"/>
    <n v="46268.655147939811"/>
    <s v="Qualified"/>
  </r>
  <r>
    <n v="1000004046"/>
    <s v="South Washington County ISD #833"/>
    <x v="42"/>
    <x v="42"/>
    <s v="SNP"/>
    <x v="0"/>
    <x v="0"/>
    <n v="0"/>
    <s v="APPR"/>
    <x v="1"/>
    <m/>
    <s v="Reduced"/>
    <x v="0"/>
    <m/>
    <s v="10555"/>
    <s v="004"/>
    <s v="Resolved"/>
    <n v="3.91"/>
    <n v="398"/>
    <n v="1556.18"/>
    <n v="46268.655147939811"/>
    <s v="Less than 60 percent"/>
  </r>
  <r>
    <n v="1000004046"/>
    <s v="South Washington County ISD #833"/>
    <x v="42"/>
    <x v="42"/>
    <s v="SNP"/>
    <x v="0"/>
    <x v="0"/>
    <n v="0"/>
    <s v="APPR"/>
    <x v="1"/>
    <m/>
    <s v="Total"/>
    <x v="0"/>
    <m/>
    <s v="10555"/>
    <s v="002"/>
    <s v="Resolved"/>
    <n v="0.45"/>
    <n v="3512"/>
    <n v="1580.4"/>
    <n v="46268.655147939811"/>
    <s v="Less than 60 percent"/>
  </r>
  <r>
    <n v="1000004046"/>
    <s v="South Washington County ISD #833"/>
    <x v="42"/>
    <x v="42"/>
    <s v="SNP"/>
    <x v="0"/>
    <x v="0"/>
    <n v="0"/>
    <s v="APPR"/>
    <x v="0"/>
    <m/>
    <s v="Reduced"/>
    <x v="1"/>
    <m/>
    <s v="S6210"/>
    <s v=" "/>
    <s v="Resolved"/>
    <n v="0.3"/>
    <n v="431"/>
    <n v="129.30000000000001"/>
    <n v="46268.655147939811"/>
    <s v="MN-FSM"/>
  </r>
  <r>
    <n v="1000004046"/>
    <s v="South Washington County ISD #833"/>
    <x v="42"/>
    <x v="42"/>
    <s v="SNP"/>
    <x v="0"/>
    <x v="0"/>
    <n v="0"/>
    <s v="APPR"/>
    <x v="0"/>
    <m/>
    <s v="Regular"/>
    <x v="1"/>
    <m/>
    <s v="S6210"/>
    <s v=" "/>
    <s v="Resolved"/>
    <n v="2.12"/>
    <n v="2180"/>
    <n v="4621.6000000000004"/>
    <n v="46268.655147939811"/>
    <s v="MN-FSM Non-severe Need"/>
  </r>
  <r>
    <n v="1000004046"/>
    <s v="South Washington County ISD #833"/>
    <x v="42"/>
    <x v="42"/>
    <s v="SNP"/>
    <x v="0"/>
    <x v="0"/>
    <n v="0"/>
    <s v="APPR"/>
    <x v="1"/>
    <m/>
    <s v="Free"/>
    <x v="1"/>
    <m/>
    <s v="S6201"/>
    <s v=" "/>
    <s v="Resolved"/>
    <n v="0.125"/>
    <n v="1021"/>
    <n v="127.62"/>
    <n v="46268.655147939811"/>
    <s v="MN-FSM"/>
  </r>
  <r>
    <n v="1000004046"/>
    <s v="South Washington County ISD #833"/>
    <x v="42"/>
    <x v="42"/>
    <s v="SNP"/>
    <x v="0"/>
    <x v="0"/>
    <n v="0"/>
    <s v="APPR"/>
    <x v="1"/>
    <m/>
    <s v="Reduced"/>
    <x v="1"/>
    <m/>
    <s v="S6201"/>
    <s v=" "/>
    <s v="Resolved"/>
    <n v="0.52500000000000002"/>
    <n v="398"/>
    <n v="208.95"/>
    <n v="46268.655147939811"/>
    <s v="MN-FSM"/>
  </r>
  <r>
    <n v="1000004046"/>
    <s v="South Washington County ISD #833"/>
    <x v="42"/>
    <x v="42"/>
    <s v="SNP"/>
    <x v="0"/>
    <x v="0"/>
    <n v="0"/>
    <s v="APPR"/>
    <x v="1"/>
    <m/>
    <s v="Regular"/>
    <x v="1"/>
    <m/>
    <s v="S6201"/>
    <s v=" "/>
    <s v="Resolved"/>
    <n v="4.4349999999999996"/>
    <n v="2093"/>
    <n v="9282.4500000000007"/>
    <n v="46268.655147939811"/>
    <s v="MN-FSM"/>
  </r>
  <r>
    <n v="1000004046"/>
    <s v="South Washington County ISD #833"/>
    <x v="43"/>
    <x v="43"/>
    <s v="SNP"/>
    <x v="0"/>
    <x v="0"/>
    <n v="0"/>
    <s v="APPR"/>
    <x v="0"/>
    <m/>
    <s v="Free"/>
    <x v="0"/>
    <m/>
    <s v="10553"/>
    <s v=" "/>
    <s v="Resolved"/>
    <n v="2.54"/>
    <n v="442"/>
    <n v="1122.68"/>
    <n v="46268.655147939811"/>
    <s v="Non-severe need"/>
  </r>
  <r>
    <n v="1000004046"/>
    <s v="South Washington County ISD #833"/>
    <x v="43"/>
    <x v="43"/>
    <s v="SNP"/>
    <x v="0"/>
    <x v="0"/>
    <n v="0"/>
    <s v="APPR"/>
    <x v="0"/>
    <m/>
    <s v="Reduced"/>
    <x v="0"/>
    <m/>
    <s v="10553"/>
    <s v=" "/>
    <s v="Resolved"/>
    <n v="2.2400000000000002"/>
    <n v="140"/>
    <n v="313.60000000000002"/>
    <n v="46268.655147939811"/>
    <s v="Non-severe need"/>
  </r>
  <r>
    <n v="1000004046"/>
    <s v="South Washington County ISD #833"/>
    <x v="43"/>
    <x v="43"/>
    <s v="SNP"/>
    <x v="0"/>
    <x v="0"/>
    <n v="0"/>
    <s v="APPR"/>
    <x v="0"/>
    <m/>
    <s v="Regular"/>
    <x v="0"/>
    <m/>
    <s v="10553"/>
    <s v=" "/>
    <s v="Resolved"/>
    <n v="0.42"/>
    <n v="779"/>
    <n v="327.18"/>
    <n v="46268.655147939811"/>
    <s v="Non-severe need"/>
  </r>
  <r>
    <n v="1000004046"/>
    <s v="South Washington County ISD #833"/>
    <x v="43"/>
    <x v="43"/>
    <s v="SNP"/>
    <x v="0"/>
    <x v="0"/>
    <n v="0"/>
    <s v="APPR"/>
    <x v="1"/>
    <m/>
    <s v="Free"/>
    <x v="0"/>
    <m/>
    <s v="10555"/>
    <s v="004"/>
    <s v="Resolved"/>
    <n v="4.3099999999999996"/>
    <n v="632"/>
    <n v="2723.92"/>
    <n v="46268.655147939811"/>
    <s v="Less than 60 percent"/>
  </r>
  <r>
    <n v="1000004046"/>
    <s v="South Washington County ISD #833"/>
    <x v="43"/>
    <x v="43"/>
    <s v="SNP"/>
    <x v="0"/>
    <x v="0"/>
    <n v="0"/>
    <s v="APPR"/>
    <x v="1"/>
    <m/>
    <s v="HHFKA"/>
    <x v="0"/>
    <m/>
    <s v="10555"/>
    <s v="006"/>
    <s v="Resolved"/>
    <n v="0.09"/>
    <n v="2400"/>
    <n v="216"/>
    <n v="46268.655147939811"/>
    <s v="Qualified"/>
  </r>
  <r>
    <n v="1000004046"/>
    <s v="South Washington County ISD #833"/>
    <x v="43"/>
    <x v="43"/>
    <s v="SNP"/>
    <x v="0"/>
    <x v="0"/>
    <n v="0"/>
    <s v="APPR"/>
    <x v="1"/>
    <m/>
    <s v="Reduced"/>
    <x v="0"/>
    <m/>
    <s v="10555"/>
    <s v="004"/>
    <s v="Resolved"/>
    <n v="3.91"/>
    <n v="274"/>
    <n v="1071.3399999999999"/>
    <n v="46268.655147939811"/>
    <s v="Less than 60 percent"/>
  </r>
  <r>
    <n v="1000004046"/>
    <s v="South Washington County ISD #833"/>
    <x v="43"/>
    <x v="43"/>
    <s v="SNP"/>
    <x v="0"/>
    <x v="0"/>
    <n v="0"/>
    <s v="APPR"/>
    <x v="1"/>
    <m/>
    <s v="Total"/>
    <x v="0"/>
    <m/>
    <s v="10555"/>
    <s v="002"/>
    <s v="Resolved"/>
    <n v="0.45"/>
    <n v="2400"/>
    <n v="1080"/>
    <n v="46268.655147939811"/>
    <s v="Less than 60 percent"/>
  </r>
  <r>
    <n v="1000004046"/>
    <s v="South Washington County ISD #833"/>
    <x v="43"/>
    <x v="43"/>
    <s v="SNP"/>
    <x v="0"/>
    <x v="0"/>
    <n v="0"/>
    <s v="APPR"/>
    <x v="0"/>
    <m/>
    <s v="Reduced"/>
    <x v="1"/>
    <m/>
    <s v="S6210"/>
    <s v=" "/>
    <s v="Resolved"/>
    <n v="0.3"/>
    <n v="140"/>
    <n v="42"/>
    <n v="46268.655147939811"/>
    <s v="MN-FSM"/>
  </r>
  <r>
    <n v="1000004046"/>
    <s v="South Washington County ISD #833"/>
    <x v="43"/>
    <x v="43"/>
    <s v="SNP"/>
    <x v="0"/>
    <x v="0"/>
    <n v="0"/>
    <s v="APPR"/>
    <x v="0"/>
    <m/>
    <s v="Regular"/>
    <x v="1"/>
    <m/>
    <s v="S6210"/>
    <s v=" "/>
    <s v="Resolved"/>
    <n v="2.12"/>
    <n v="779"/>
    <n v="1651.48"/>
    <n v="46268.655147939811"/>
    <s v="MN-FSM Non-severe Need"/>
  </r>
  <r>
    <n v="1000004046"/>
    <s v="South Washington County ISD #833"/>
    <x v="43"/>
    <x v="43"/>
    <s v="SNP"/>
    <x v="0"/>
    <x v="0"/>
    <n v="0"/>
    <s v="APPR"/>
    <x v="1"/>
    <m/>
    <s v="Free"/>
    <x v="1"/>
    <m/>
    <s v="S6201"/>
    <s v=" "/>
    <s v="Resolved"/>
    <n v="0.125"/>
    <n v="632"/>
    <n v="79"/>
    <n v="46268.655147939811"/>
    <s v="MN-FSM"/>
  </r>
  <r>
    <n v="1000004046"/>
    <s v="South Washington County ISD #833"/>
    <x v="43"/>
    <x v="43"/>
    <s v="SNP"/>
    <x v="0"/>
    <x v="0"/>
    <n v="0"/>
    <s v="APPR"/>
    <x v="1"/>
    <m/>
    <s v="Reduced"/>
    <x v="1"/>
    <m/>
    <s v="S6201"/>
    <s v=" "/>
    <s v="Resolved"/>
    <n v="0.52500000000000002"/>
    <n v="274"/>
    <n v="143.85"/>
    <n v="46268.655147939811"/>
    <s v="MN-FSM"/>
  </r>
  <r>
    <n v="1000004046"/>
    <s v="South Washington County ISD #833"/>
    <x v="43"/>
    <x v="43"/>
    <s v="SNP"/>
    <x v="0"/>
    <x v="0"/>
    <n v="0"/>
    <s v="APPR"/>
    <x v="1"/>
    <m/>
    <s v="Regular"/>
    <x v="1"/>
    <m/>
    <s v="S6201"/>
    <s v=" "/>
    <s v="Resolved"/>
    <n v="4.4349999999999996"/>
    <n v="1494"/>
    <n v="6625.89"/>
    <n v="46268.655147939811"/>
    <s v="MN-FSM"/>
  </r>
  <r>
    <n v="1000004046"/>
    <s v="South Washington County ISD #833"/>
    <x v="44"/>
    <x v="44"/>
    <s v="SNP"/>
    <x v="0"/>
    <x v="0"/>
    <n v="0"/>
    <s v="APPR"/>
    <x v="0"/>
    <m/>
    <s v="Free"/>
    <x v="0"/>
    <m/>
    <s v="10553"/>
    <s v=" "/>
    <s v="Resolved"/>
    <n v="2.54"/>
    <n v="252"/>
    <n v="640.08000000000004"/>
    <n v="46268.655147939811"/>
    <s v="Non-severe need"/>
  </r>
  <r>
    <n v="1000004046"/>
    <s v="South Washington County ISD #833"/>
    <x v="44"/>
    <x v="44"/>
    <s v="SNP"/>
    <x v="0"/>
    <x v="0"/>
    <n v="0"/>
    <s v="APPR"/>
    <x v="0"/>
    <m/>
    <s v="Reduced"/>
    <x v="0"/>
    <m/>
    <s v="10553"/>
    <s v=" "/>
    <s v="Resolved"/>
    <n v="2.2400000000000002"/>
    <n v="34"/>
    <n v="76.16"/>
    <n v="46268.655147939811"/>
    <s v="Non-severe need"/>
  </r>
  <r>
    <n v="1000004046"/>
    <s v="South Washington County ISD #833"/>
    <x v="44"/>
    <x v="44"/>
    <s v="SNP"/>
    <x v="0"/>
    <x v="0"/>
    <n v="0"/>
    <s v="APPR"/>
    <x v="0"/>
    <m/>
    <s v="Regular"/>
    <x v="0"/>
    <m/>
    <s v="10553"/>
    <s v=" "/>
    <s v="Resolved"/>
    <n v="0.42"/>
    <n v="360"/>
    <n v="151.19999999999999"/>
    <n v="46268.655147939811"/>
    <s v="Non-severe need"/>
  </r>
  <r>
    <n v="1000004046"/>
    <s v="South Washington County ISD #833"/>
    <x v="44"/>
    <x v="44"/>
    <s v="SNP"/>
    <x v="0"/>
    <x v="0"/>
    <n v="0"/>
    <s v="APPR"/>
    <x v="0"/>
    <m/>
    <s v="Reduced"/>
    <x v="1"/>
    <m/>
    <s v="S6210"/>
    <s v=" "/>
    <s v="Resolved"/>
    <n v="0.3"/>
    <n v="34"/>
    <n v="10.199999999999999"/>
    <n v="46268.655147939811"/>
    <s v="MN-FSM"/>
  </r>
  <r>
    <n v="1000004046"/>
    <s v="South Washington County ISD #833"/>
    <x v="44"/>
    <x v="44"/>
    <s v="SNP"/>
    <x v="0"/>
    <x v="0"/>
    <n v="0"/>
    <s v="APPR"/>
    <x v="0"/>
    <m/>
    <s v="Regular"/>
    <x v="1"/>
    <m/>
    <s v="S6210"/>
    <s v=" "/>
    <s v="Resolved"/>
    <n v="2.12"/>
    <n v="360"/>
    <n v="763.2"/>
    <n v="46268.655147939811"/>
    <s v="MN-FSM Non-severe Need"/>
  </r>
  <r>
    <n v="1000004046"/>
    <s v="South Washington County ISD #833"/>
    <x v="45"/>
    <x v="45"/>
    <s v="SNP"/>
    <x v="0"/>
    <x v="0"/>
    <n v="0"/>
    <s v="APPR"/>
    <x v="0"/>
    <m/>
    <s v="Free"/>
    <x v="0"/>
    <m/>
    <s v="10553"/>
    <s v=" "/>
    <s v="Resolved"/>
    <n v="2.54"/>
    <n v="1033"/>
    <n v="2623.82"/>
    <n v="46268.655147939811"/>
    <s v="Non-severe need"/>
  </r>
  <r>
    <n v="1000004046"/>
    <s v="South Washington County ISD #833"/>
    <x v="45"/>
    <x v="45"/>
    <s v="SNP"/>
    <x v="0"/>
    <x v="0"/>
    <n v="0"/>
    <s v="APPR"/>
    <x v="0"/>
    <m/>
    <s v="Reduced"/>
    <x v="0"/>
    <m/>
    <s v="10553"/>
    <s v=" "/>
    <s v="Resolved"/>
    <n v="2.2400000000000002"/>
    <n v="269"/>
    <n v="602.55999999999995"/>
    <n v="46268.655147939811"/>
    <s v="Non-severe need"/>
  </r>
  <r>
    <n v="1000004046"/>
    <s v="South Washington County ISD #833"/>
    <x v="45"/>
    <x v="45"/>
    <s v="SNP"/>
    <x v="0"/>
    <x v="0"/>
    <n v="0"/>
    <s v="APPR"/>
    <x v="0"/>
    <m/>
    <s v="Regular"/>
    <x v="0"/>
    <m/>
    <s v="10553"/>
    <s v=" "/>
    <s v="Resolved"/>
    <n v="0.42"/>
    <n v="2159"/>
    <n v="906.78"/>
    <n v="46268.655147939811"/>
    <s v="Non-severe need"/>
  </r>
  <r>
    <n v="1000004046"/>
    <s v="South Washington County ISD #833"/>
    <x v="45"/>
    <x v="45"/>
    <s v="SNP"/>
    <x v="0"/>
    <x v="0"/>
    <n v="0"/>
    <s v="APPR"/>
    <x v="1"/>
    <m/>
    <s v="Free"/>
    <x v="0"/>
    <m/>
    <s v="10555"/>
    <s v="004"/>
    <s v="Resolved"/>
    <n v="4.3099999999999996"/>
    <n v="904"/>
    <n v="3896.24"/>
    <n v="46268.655147939811"/>
    <s v="Less than 60 percent"/>
  </r>
  <r>
    <n v="1000004046"/>
    <s v="South Washington County ISD #833"/>
    <x v="45"/>
    <x v="45"/>
    <s v="SNP"/>
    <x v="0"/>
    <x v="0"/>
    <n v="0"/>
    <s v="APPR"/>
    <x v="1"/>
    <m/>
    <s v="HHFKA"/>
    <x v="0"/>
    <m/>
    <s v="10555"/>
    <s v="006"/>
    <s v="Resolved"/>
    <n v="0.09"/>
    <n v="3424"/>
    <n v="308.16000000000003"/>
    <n v="46268.655147939811"/>
    <s v="Qualified"/>
  </r>
  <r>
    <n v="1000004046"/>
    <s v="South Washington County ISD #833"/>
    <x v="45"/>
    <x v="45"/>
    <s v="SNP"/>
    <x v="0"/>
    <x v="0"/>
    <n v="0"/>
    <s v="APPR"/>
    <x v="1"/>
    <m/>
    <s v="Reduced"/>
    <x v="0"/>
    <m/>
    <s v="10555"/>
    <s v="004"/>
    <s v="Resolved"/>
    <n v="3.91"/>
    <n v="325"/>
    <n v="1270.75"/>
    <n v="46268.655147939811"/>
    <s v="Less than 60 percent"/>
  </r>
  <r>
    <n v="1000004046"/>
    <s v="South Washington County ISD #833"/>
    <x v="45"/>
    <x v="45"/>
    <s v="SNP"/>
    <x v="0"/>
    <x v="0"/>
    <n v="0"/>
    <s v="APPR"/>
    <x v="1"/>
    <m/>
    <s v="Total"/>
    <x v="0"/>
    <m/>
    <s v="10555"/>
    <s v="002"/>
    <s v="Resolved"/>
    <n v="0.45"/>
    <n v="3424"/>
    <n v="1540.8"/>
    <n v="46268.655147939811"/>
    <s v="Less than 60 percent"/>
  </r>
  <r>
    <n v="1000004046"/>
    <s v="South Washington County ISD #833"/>
    <x v="45"/>
    <x v="45"/>
    <s v="SNP"/>
    <x v="0"/>
    <x v="0"/>
    <n v="0"/>
    <s v="APPR"/>
    <x v="0"/>
    <m/>
    <s v="Reduced"/>
    <x v="1"/>
    <m/>
    <s v="S6210"/>
    <s v=" "/>
    <s v="Resolved"/>
    <n v="0.3"/>
    <n v="269"/>
    <n v="80.7"/>
    <n v="46268.655147939811"/>
    <s v="MN-FSM"/>
  </r>
  <r>
    <n v="1000004046"/>
    <s v="South Washington County ISD #833"/>
    <x v="45"/>
    <x v="45"/>
    <s v="SNP"/>
    <x v="0"/>
    <x v="0"/>
    <n v="0"/>
    <s v="APPR"/>
    <x v="0"/>
    <m/>
    <s v="Regular"/>
    <x v="1"/>
    <m/>
    <s v="S6210"/>
    <s v=" "/>
    <s v="Resolved"/>
    <n v="2.12"/>
    <n v="2159"/>
    <n v="4577.08"/>
    <n v="46268.655147939811"/>
    <s v="MN-FSM Non-severe Need"/>
  </r>
  <r>
    <n v="1000004046"/>
    <s v="South Washington County ISD #833"/>
    <x v="45"/>
    <x v="45"/>
    <s v="SNP"/>
    <x v="0"/>
    <x v="0"/>
    <n v="0"/>
    <s v="APPR"/>
    <x v="0"/>
    <s v="Kindergarten"/>
    <s v="Regular"/>
    <x v="1"/>
    <m/>
    <s v="S6210"/>
    <s v=" "/>
    <s v="Resolved"/>
    <n v="0"/>
    <n v="4"/>
    <n v="0"/>
    <n v="46268.655147939811"/>
    <s v="MN-FSM Kindergarten"/>
  </r>
  <r>
    <n v="1000004046"/>
    <s v="South Washington County ISD #833"/>
    <x v="45"/>
    <x v="45"/>
    <s v="SNP"/>
    <x v="0"/>
    <x v="0"/>
    <n v="0"/>
    <s v="APPR"/>
    <x v="1"/>
    <m/>
    <s v="Free"/>
    <x v="1"/>
    <m/>
    <s v="S6201"/>
    <s v=" "/>
    <s v="Resolved"/>
    <n v="0.125"/>
    <n v="904"/>
    <n v="113"/>
    <n v="46268.655147939811"/>
    <s v="MN-FSM"/>
  </r>
  <r>
    <n v="1000004046"/>
    <s v="South Washington County ISD #833"/>
    <x v="45"/>
    <x v="45"/>
    <s v="SNP"/>
    <x v="0"/>
    <x v="0"/>
    <n v="0"/>
    <s v="APPR"/>
    <x v="1"/>
    <m/>
    <s v="Reduced"/>
    <x v="1"/>
    <m/>
    <s v="S6201"/>
    <s v=" "/>
    <s v="Resolved"/>
    <n v="0.52500000000000002"/>
    <n v="325"/>
    <n v="170.62"/>
    <n v="46268.655147939811"/>
    <s v="MN-FSM"/>
  </r>
  <r>
    <n v="1000004046"/>
    <s v="South Washington County ISD #833"/>
    <x v="45"/>
    <x v="45"/>
    <s v="SNP"/>
    <x v="0"/>
    <x v="0"/>
    <n v="0"/>
    <s v="APPR"/>
    <x v="1"/>
    <m/>
    <s v="Regular"/>
    <x v="1"/>
    <m/>
    <s v="S6201"/>
    <s v=" "/>
    <s v="Resolved"/>
    <n v="4.4349999999999996"/>
    <n v="2195"/>
    <n v="9734.82"/>
    <n v="46268.655147939811"/>
    <s v="MN-FSM"/>
  </r>
  <r>
    <n v="2000010447"/>
    <s v="Southern Minnesota Education Consortium"/>
    <x v="46"/>
    <x v="46"/>
    <s v="SNP"/>
    <x v="0"/>
    <x v="0"/>
    <n v="0"/>
    <s v="APPR"/>
    <x v="1"/>
    <m/>
    <s v="Free"/>
    <x v="0"/>
    <m/>
    <s v="10555"/>
    <s v="004"/>
    <s v="Resolved"/>
    <n v="4.3099999999999996"/>
    <n v="159"/>
    <n v="685.29"/>
    <n v="46268.655147939811"/>
    <s v="Less than 60 percent"/>
  </r>
  <r>
    <n v="2000010447"/>
    <s v="Southern Minnesota Education Consortium"/>
    <x v="46"/>
    <x v="46"/>
    <s v="SNP"/>
    <x v="0"/>
    <x v="0"/>
    <n v="0"/>
    <s v="APPR"/>
    <x v="1"/>
    <m/>
    <s v="HHFKA"/>
    <x v="0"/>
    <m/>
    <s v="10555"/>
    <s v="006"/>
    <s v="Resolved"/>
    <n v="0.09"/>
    <n v="182"/>
    <n v="16.38"/>
    <n v="46268.655147939811"/>
    <s v="Qualified"/>
  </r>
  <r>
    <n v="2000010447"/>
    <s v="Southern Minnesota Education Consortium"/>
    <x v="46"/>
    <x v="46"/>
    <s v="SNP"/>
    <x v="0"/>
    <x v="0"/>
    <n v="0"/>
    <s v="APPR"/>
    <x v="1"/>
    <m/>
    <s v="Total"/>
    <x v="0"/>
    <m/>
    <s v="10555"/>
    <s v="002"/>
    <s v="Resolved"/>
    <n v="0.45"/>
    <n v="182"/>
    <n v="81.900000000000006"/>
    <n v="46268.655147939811"/>
    <s v="Less than 60 percent"/>
  </r>
  <r>
    <n v="2000010447"/>
    <s v="Southern Minnesota Education Consortium"/>
    <x v="46"/>
    <x v="46"/>
    <s v="SNP"/>
    <x v="0"/>
    <x v="0"/>
    <n v="0"/>
    <s v="APPR"/>
    <x v="1"/>
    <m/>
    <s v="Free"/>
    <x v="1"/>
    <m/>
    <s v="S6201"/>
    <s v=" "/>
    <s v="Resolved"/>
    <n v="0.125"/>
    <n v="159"/>
    <n v="19.87"/>
    <n v="46268.655147939811"/>
    <s v="MN-FSM"/>
  </r>
  <r>
    <n v="2000010447"/>
    <s v="Southern Minnesota Education Consortium"/>
    <x v="46"/>
    <x v="46"/>
    <s v="SNP"/>
    <x v="0"/>
    <x v="0"/>
    <n v="0"/>
    <s v="APPR"/>
    <x v="1"/>
    <m/>
    <s v="Regular"/>
    <x v="1"/>
    <m/>
    <s v="S6201"/>
    <s v=" "/>
    <s v="Resolved"/>
    <n v="4.4349999999999996"/>
    <n v="23"/>
    <n v="102"/>
    <n v="46268.655147939811"/>
    <s v="MN-FSM"/>
  </r>
  <r>
    <n v="1000003811"/>
    <s v="St Francis ISD #15"/>
    <x v="47"/>
    <x v="47"/>
    <s v="SNP"/>
    <x v="0"/>
    <x v="0"/>
    <n v="0"/>
    <s v="APPR"/>
    <x v="0"/>
    <m/>
    <s v="Free"/>
    <x v="0"/>
    <m/>
    <s v="10553"/>
    <s v=" "/>
    <s v="Resolved"/>
    <n v="2.54"/>
    <n v="285"/>
    <n v="723.9"/>
    <n v="46268.655147939811"/>
    <s v="Non-severe need"/>
  </r>
  <r>
    <n v="1000003811"/>
    <s v="St Francis ISD #15"/>
    <x v="47"/>
    <x v="47"/>
    <s v="SNP"/>
    <x v="0"/>
    <x v="0"/>
    <n v="0"/>
    <s v="APPR"/>
    <x v="0"/>
    <m/>
    <s v="Reduced"/>
    <x v="0"/>
    <m/>
    <s v="10553"/>
    <s v=" "/>
    <s v="Resolved"/>
    <n v="2.2400000000000002"/>
    <n v="124"/>
    <n v="277.76"/>
    <n v="46268.655147939811"/>
    <s v="Non-severe need"/>
  </r>
  <r>
    <n v="1000003811"/>
    <s v="St Francis ISD #15"/>
    <x v="47"/>
    <x v="47"/>
    <s v="SNP"/>
    <x v="0"/>
    <x v="0"/>
    <n v="0"/>
    <s v="APPR"/>
    <x v="0"/>
    <m/>
    <s v="Regular"/>
    <x v="0"/>
    <m/>
    <s v="10553"/>
    <s v=" "/>
    <s v="Resolved"/>
    <n v="0.42"/>
    <n v="724"/>
    <n v="304.08"/>
    <n v="46268.655147939811"/>
    <s v="Non-severe need"/>
  </r>
  <r>
    <n v="1000003811"/>
    <s v="St Francis ISD #15"/>
    <x v="47"/>
    <x v="47"/>
    <s v="SNP"/>
    <x v="0"/>
    <x v="0"/>
    <n v="0"/>
    <s v="APPR"/>
    <x v="1"/>
    <m/>
    <s v="Free"/>
    <x v="0"/>
    <m/>
    <s v="10555"/>
    <s v="004"/>
    <s v="Resolved"/>
    <n v="4.3099999999999996"/>
    <n v="426"/>
    <n v="1836.06"/>
    <n v="46268.655147939811"/>
    <s v="Less than 60 percent"/>
  </r>
  <r>
    <n v="1000003811"/>
    <s v="St Francis ISD #15"/>
    <x v="47"/>
    <x v="47"/>
    <s v="SNP"/>
    <x v="0"/>
    <x v="0"/>
    <n v="0"/>
    <s v="APPR"/>
    <x v="1"/>
    <m/>
    <s v="HHFKA"/>
    <x v="0"/>
    <m/>
    <s v="10555"/>
    <s v="006"/>
    <s v="Resolved"/>
    <n v="0.09"/>
    <n v="1742"/>
    <n v="156.78"/>
    <n v="46268.655147939811"/>
    <s v="Qualified"/>
  </r>
  <r>
    <n v="1000003811"/>
    <s v="St Francis ISD #15"/>
    <x v="47"/>
    <x v="47"/>
    <s v="SNP"/>
    <x v="0"/>
    <x v="0"/>
    <n v="0"/>
    <s v="APPR"/>
    <x v="1"/>
    <m/>
    <s v="Reduced"/>
    <x v="0"/>
    <m/>
    <s v="10555"/>
    <s v="004"/>
    <s v="Resolved"/>
    <n v="3.91"/>
    <n v="182"/>
    <n v="711.62"/>
    <n v="46268.655147939811"/>
    <s v="Less than 60 percent"/>
  </r>
  <r>
    <n v="1000003811"/>
    <s v="St Francis ISD #15"/>
    <x v="47"/>
    <x v="47"/>
    <s v="SNP"/>
    <x v="0"/>
    <x v="0"/>
    <n v="0"/>
    <s v="APPR"/>
    <x v="1"/>
    <m/>
    <s v="Total"/>
    <x v="0"/>
    <m/>
    <s v="10555"/>
    <s v="002"/>
    <s v="Resolved"/>
    <n v="0.45"/>
    <n v="1742"/>
    <n v="783.9"/>
    <n v="46268.655147939811"/>
    <s v="Less than 60 percent"/>
  </r>
  <r>
    <n v="1000003811"/>
    <s v="St Francis ISD #15"/>
    <x v="47"/>
    <x v="47"/>
    <s v="SNP"/>
    <x v="0"/>
    <x v="0"/>
    <n v="0"/>
    <s v="APPR"/>
    <x v="0"/>
    <m/>
    <s v="Reduced"/>
    <x v="1"/>
    <m/>
    <s v="S6210"/>
    <s v=" "/>
    <s v="Resolved"/>
    <n v="0.3"/>
    <n v="124"/>
    <n v="37.200000000000003"/>
    <n v="46268.655147939811"/>
    <s v="MN-FSM"/>
  </r>
  <r>
    <n v="1000003811"/>
    <s v="St Francis ISD #15"/>
    <x v="47"/>
    <x v="47"/>
    <s v="SNP"/>
    <x v="0"/>
    <x v="0"/>
    <n v="0"/>
    <s v="APPR"/>
    <x v="0"/>
    <m/>
    <s v="Regular"/>
    <x v="1"/>
    <m/>
    <s v="S6210"/>
    <s v=" "/>
    <s v="Resolved"/>
    <n v="2.12"/>
    <n v="724"/>
    <n v="1534.88"/>
    <n v="46268.655147939811"/>
    <s v="MN-FSM Non-severe Need"/>
  </r>
  <r>
    <n v="1000003811"/>
    <s v="St Francis ISD #15"/>
    <x v="47"/>
    <x v="47"/>
    <s v="SNP"/>
    <x v="0"/>
    <x v="0"/>
    <n v="0"/>
    <s v="APPR"/>
    <x v="1"/>
    <m/>
    <s v="Free"/>
    <x v="1"/>
    <m/>
    <s v="S6201"/>
    <s v=" "/>
    <s v="Resolved"/>
    <n v="0.125"/>
    <n v="426"/>
    <n v="53.25"/>
    <n v="46268.655147939811"/>
    <s v="MN-FSM"/>
  </r>
  <r>
    <n v="1000003811"/>
    <s v="St Francis ISD #15"/>
    <x v="47"/>
    <x v="47"/>
    <s v="SNP"/>
    <x v="0"/>
    <x v="0"/>
    <n v="0"/>
    <s v="APPR"/>
    <x v="1"/>
    <m/>
    <s v="Reduced"/>
    <x v="1"/>
    <m/>
    <s v="S6201"/>
    <s v=" "/>
    <s v="Resolved"/>
    <n v="0.52500000000000002"/>
    <n v="182"/>
    <n v="95.55"/>
    <n v="46268.655147939811"/>
    <s v="MN-FSM"/>
  </r>
  <r>
    <n v="1000003811"/>
    <s v="St Francis ISD #15"/>
    <x v="47"/>
    <x v="47"/>
    <s v="SNP"/>
    <x v="0"/>
    <x v="0"/>
    <n v="0"/>
    <s v="APPR"/>
    <x v="1"/>
    <m/>
    <s v="Regular"/>
    <x v="1"/>
    <m/>
    <s v="S6201"/>
    <s v=" "/>
    <s v="Resolved"/>
    <n v="4.4349999999999996"/>
    <n v="1134"/>
    <n v="5029.29"/>
    <n v="46268.655147939811"/>
    <s v="MN-FSM"/>
  </r>
  <r>
    <n v="1000003887"/>
    <s v="St Louis Park ISD #283"/>
    <x v="48"/>
    <x v="48"/>
    <s v="SNP"/>
    <x v="0"/>
    <x v="0"/>
    <n v="1"/>
    <s v="APPR"/>
    <x v="0"/>
    <m/>
    <s v="Free"/>
    <x v="0"/>
    <m/>
    <s v="10553"/>
    <s v=" "/>
    <s v="Resolved"/>
    <n v="3.05"/>
    <n v="627"/>
    <n v="1912.35"/>
    <n v="46268.655147939811"/>
    <s v="Severe need"/>
  </r>
  <r>
    <n v="1000003887"/>
    <s v="St Louis Park ISD #283"/>
    <x v="48"/>
    <x v="48"/>
    <s v="SNP"/>
    <x v="0"/>
    <x v="0"/>
    <n v="1"/>
    <s v="APPR"/>
    <x v="0"/>
    <m/>
    <s v="Reduced"/>
    <x v="0"/>
    <m/>
    <s v="10553"/>
    <s v=" "/>
    <s v="Resolved"/>
    <n v="2.75"/>
    <n v="72"/>
    <n v="198"/>
    <n v="46268.655147939811"/>
    <s v="Severe need"/>
  </r>
  <r>
    <n v="1000003887"/>
    <s v="St Louis Park ISD #283"/>
    <x v="48"/>
    <x v="48"/>
    <s v="SNP"/>
    <x v="0"/>
    <x v="0"/>
    <n v="1"/>
    <s v="APPR"/>
    <x v="0"/>
    <m/>
    <s v="Regular"/>
    <x v="0"/>
    <m/>
    <s v="10553"/>
    <s v=" "/>
    <s v="Resolved"/>
    <n v="0.42"/>
    <n v="307"/>
    <n v="128.94"/>
    <n v="46268.655147939811"/>
    <s v="Severe need"/>
  </r>
  <r>
    <n v="1000003887"/>
    <s v="St Louis Park ISD #283"/>
    <x v="48"/>
    <x v="48"/>
    <s v="SNP"/>
    <x v="0"/>
    <x v="0"/>
    <n v="1"/>
    <s v="APPR"/>
    <x v="1"/>
    <m/>
    <s v="Free"/>
    <x v="0"/>
    <m/>
    <s v="10555"/>
    <s v="004"/>
    <s v="Resolved"/>
    <n v="4.3099999999999996"/>
    <n v="1185"/>
    <n v="5107.3500000000004"/>
    <n v="46268.655147939811"/>
    <s v="Less than 60 percent"/>
  </r>
  <r>
    <n v="1000003887"/>
    <s v="St Louis Park ISD #283"/>
    <x v="48"/>
    <x v="48"/>
    <s v="SNP"/>
    <x v="0"/>
    <x v="0"/>
    <n v="1"/>
    <s v="APPR"/>
    <x v="1"/>
    <m/>
    <s v="HHFKA"/>
    <x v="0"/>
    <m/>
    <s v="10555"/>
    <s v="006"/>
    <s v="Resolved"/>
    <n v="0.09"/>
    <n v="2107"/>
    <n v="189.63"/>
    <n v="46268.655147939811"/>
    <s v="Qualified"/>
  </r>
  <r>
    <n v="1000003887"/>
    <s v="St Louis Park ISD #283"/>
    <x v="48"/>
    <x v="48"/>
    <s v="SNP"/>
    <x v="0"/>
    <x v="0"/>
    <n v="1"/>
    <s v="APPR"/>
    <x v="1"/>
    <m/>
    <s v="Reduced"/>
    <x v="0"/>
    <m/>
    <s v="10555"/>
    <s v="004"/>
    <s v="Resolved"/>
    <n v="3.91"/>
    <n v="175"/>
    <n v="684.25"/>
    <n v="46268.655147939811"/>
    <s v="Less than 60 percent"/>
  </r>
  <r>
    <n v="1000003887"/>
    <s v="St Louis Park ISD #283"/>
    <x v="48"/>
    <x v="48"/>
    <s v="SNP"/>
    <x v="0"/>
    <x v="0"/>
    <n v="1"/>
    <s v="APPR"/>
    <x v="1"/>
    <m/>
    <s v="Total"/>
    <x v="0"/>
    <m/>
    <s v="10555"/>
    <s v="002"/>
    <s v="Resolved"/>
    <n v="0.45"/>
    <n v="2107"/>
    <n v="948.15"/>
    <n v="46268.655147939811"/>
    <s v="Less than 60 percent"/>
  </r>
  <r>
    <n v="1000003887"/>
    <s v="St Louis Park ISD #283"/>
    <x v="48"/>
    <x v="48"/>
    <s v="SNP"/>
    <x v="0"/>
    <x v="0"/>
    <n v="1"/>
    <s v="APPR"/>
    <x v="0"/>
    <m/>
    <s v="Reduced"/>
    <x v="1"/>
    <m/>
    <s v="S6210"/>
    <s v=" "/>
    <s v="Resolved"/>
    <n v="0.3"/>
    <n v="72"/>
    <n v="21.6"/>
    <n v="46268.655147939811"/>
    <s v="MN-FSM"/>
  </r>
  <r>
    <n v="1000003887"/>
    <s v="St Louis Park ISD #283"/>
    <x v="48"/>
    <x v="48"/>
    <s v="SNP"/>
    <x v="0"/>
    <x v="0"/>
    <n v="1"/>
    <s v="APPR"/>
    <x v="0"/>
    <m/>
    <s v="Regular"/>
    <x v="1"/>
    <m/>
    <s v="S6210"/>
    <s v=" "/>
    <s v="Resolved"/>
    <n v="2.63"/>
    <n v="307"/>
    <n v="807.41"/>
    <n v="46268.655147939811"/>
    <s v="MN-FSM Severe Need"/>
  </r>
  <r>
    <n v="1000003887"/>
    <s v="St Louis Park ISD #283"/>
    <x v="48"/>
    <x v="48"/>
    <s v="SNP"/>
    <x v="0"/>
    <x v="0"/>
    <n v="1"/>
    <s v="APPR"/>
    <x v="1"/>
    <m/>
    <s v="Free"/>
    <x v="1"/>
    <m/>
    <s v="S6201"/>
    <s v=" "/>
    <s v="Resolved"/>
    <n v="0.125"/>
    <n v="1185"/>
    <n v="148.12"/>
    <n v="46268.655147939811"/>
    <s v="MN-FSM"/>
  </r>
  <r>
    <n v="1000003887"/>
    <s v="St Louis Park ISD #283"/>
    <x v="48"/>
    <x v="48"/>
    <s v="SNP"/>
    <x v="0"/>
    <x v="0"/>
    <n v="1"/>
    <s v="APPR"/>
    <x v="1"/>
    <m/>
    <s v="Reduced"/>
    <x v="1"/>
    <m/>
    <s v="S6201"/>
    <s v=" "/>
    <s v="Resolved"/>
    <n v="0.52500000000000002"/>
    <n v="175"/>
    <n v="91.87"/>
    <n v="46268.655147939811"/>
    <s v="MN-FSM"/>
  </r>
  <r>
    <n v="1000003887"/>
    <s v="St Louis Park ISD #283"/>
    <x v="48"/>
    <x v="48"/>
    <s v="SNP"/>
    <x v="0"/>
    <x v="0"/>
    <n v="1"/>
    <s v="APPR"/>
    <x v="1"/>
    <m/>
    <s v="Regular"/>
    <x v="1"/>
    <m/>
    <s v="S6201"/>
    <s v=" "/>
    <s v="Resolved"/>
    <n v="4.4349999999999996"/>
    <n v="747"/>
    <n v="3312.94"/>
    <n v="46268.655147939811"/>
    <s v="MN-FSM"/>
  </r>
  <r>
    <n v="2000010482"/>
    <s v="Verndale Area Christian Academy"/>
    <x v="49"/>
    <x v="49"/>
    <s v="SNP"/>
    <x v="0"/>
    <x v="0"/>
    <n v="0"/>
    <s v="APPR"/>
    <x v="0"/>
    <m/>
    <s v="Free"/>
    <x v="0"/>
    <m/>
    <s v="10553"/>
    <s v=" "/>
    <s v="Resolved"/>
    <n v="3.05"/>
    <n v="251"/>
    <n v="765.55"/>
    <n v="46268.655147939811"/>
    <s v="Severe need"/>
  </r>
  <r>
    <n v="2000010482"/>
    <s v="Verndale Area Christian Academy"/>
    <x v="49"/>
    <x v="49"/>
    <s v="SNP"/>
    <x v="0"/>
    <x v="0"/>
    <n v="0"/>
    <s v="APPR"/>
    <x v="0"/>
    <m/>
    <s v="Reduced"/>
    <x v="0"/>
    <m/>
    <s v="10553"/>
    <s v=" "/>
    <s v="Resolved"/>
    <n v="2.75"/>
    <n v="78"/>
    <n v="214.5"/>
    <n v="46268.655147939811"/>
    <s v="Severe need"/>
  </r>
  <r>
    <n v="2000010482"/>
    <s v="Verndale Area Christian Academy"/>
    <x v="49"/>
    <x v="49"/>
    <s v="SNP"/>
    <x v="0"/>
    <x v="0"/>
    <n v="0"/>
    <s v="APPR"/>
    <x v="0"/>
    <m/>
    <s v="Regular"/>
    <x v="0"/>
    <m/>
    <s v="10553"/>
    <s v=" "/>
    <s v="Resolved"/>
    <n v="0.42"/>
    <n v="234"/>
    <n v="98.28"/>
    <n v="46268.655147939811"/>
    <s v="Severe need"/>
  </r>
  <r>
    <n v="2000010482"/>
    <s v="Verndale Area Christian Academy"/>
    <x v="49"/>
    <x v="49"/>
    <s v="SNP"/>
    <x v="0"/>
    <x v="0"/>
    <n v="0"/>
    <s v="APPR"/>
    <x v="1"/>
    <m/>
    <s v="Free"/>
    <x v="0"/>
    <m/>
    <s v="10555"/>
    <s v="004"/>
    <s v="Resolved"/>
    <n v="4.3099999999999996"/>
    <n v="314"/>
    <n v="1353.34"/>
    <n v="46268.655147939811"/>
    <s v="60 percent or over"/>
  </r>
  <r>
    <n v="2000010482"/>
    <s v="Verndale Area Christian Academy"/>
    <x v="49"/>
    <x v="49"/>
    <s v="SNP"/>
    <x v="0"/>
    <x v="0"/>
    <n v="0"/>
    <s v="APPR"/>
    <x v="1"/>
    <m/>
    <s v="HHFKA"/>
    <x v="0"/>
    <m/>
    <s v="10555"/>
    <s v="006"/>
    <s v="Resolved"/>
    <n v="0.09"/>
    <n v="707"/>
    <n v="63.63"/>
    <n v="46268.655147939811"/>
    <s v="Qualified"/>
  </r>
  <r>
    <n v="2000010482"/>
    <s v="Verndale Area Christian Academy"/>
    <x v="49"/>
    <x v="49"/>
    <s v="SNP"/>
    <x v="0"/>
    <x v="0"/>
    <n v="0"/>
    <s v="APPR"/>
    <x v="1"/>
    <m/>
    <s v="Reduced"/>
    <x v="0"/>
    <m/>
    <s v="10555"/>
    <s v="004"/>
    <s v="Resolved"/>
    <n v="3.91"/>
    <n v="103"/>
    <n v="402.73"/>
    <n v="46268.655147939811"/>
    <s v="60 percent or over"/>
  </r>
  <r>
    <n v="2000010482"/>
    <s v="Verndale Area Christian Academy"/>
    <x v="49"/>
    <x v="49"/>
    <s v="SNP"/>
    <x v="0"/>
    <x v="0"/>
    <n v="0"/>
    <s v="APPR"/>
    <x v="1"/>
    <m/>
    <s v="Total"/>
    <x v="0"/>
    <m/>
    <s v="10555"/>
    <s v="002"/>
    <s v="Resolved"/>
    <n v="0.47"/>
    <n v="707"/>
    <n v="332.29"/>
    <n v="46268.655147939811"/>
    <s v="60 percent or over"/>
  </r>
  <r>
    <n v="2000010482"/>
    <s v="Verndale Area Christian Academy"/>
    <x v="49"/>
    <x v="49"/>
    <s v="SNP"/>
    <x v="0"/>
    <x v="0"/>
    <n v="0"/>
    <s v="APPR"/>
    <x v="0"/>
    <m/>
    <s v="Reduced"/>
    <x v="1"/>
    <m/>
    <s v="S6210"/>
    <s v=" "/>
    <s v="Resolved"/>
    <n v="0.3"/>
    <n v="78"/>
    <n v="23.4"/>
    <n v="46268.655147939811"/>
    <s v="MN-FSM"/>
  </r>
  <r>
    <n v="2000010482"/>
    <s v="Verndale Area Christian Academy"/>
    <x v="49"/>
    <x v="49"/>
    <s v="SNP"/>
    <x v="0"/>
    <x v="0"/>
    <n v="0"/>
    <s v="APPR"/>
    <x v="0"/>
    <m/>
    <s v="Regular"/>
    <x v="1"/>
    <m/>
    <s v="S6210"/>
    <s v=" "/>
    <s v="Resolved"/>
    <n v="2.63"/>
    <n v="234"/>
    <n v="615.41999999999996"/>
    <n v="46268.655147939811"/>
    <s v="MN-FSM Severe Need"/>
  </r>
  <r>
    <n v="2000010482"/>
    <s v="Verndale Area Christian Academy"/>
    <x v="49"/>
    <x v="49"/>
    <s v="SNP"/>
    <x v="0"/>
    <x v="0"/>
    <n v="0"/>
    <s v="APPR"/>
    <x v="1"/>
    <m/>
    <s v="Free"/>
    <x v="1"/>
    <m/>
    <s v="S6201"/>
    <s v=" "/>
    <s v="Resolved"/>
    <n v="0.125"/>
    <n v="314"/>
    <n v="39.25"/>
    <n v="46268.655147939811"/>
    <s v="MN-FSM"/>
  </r>
  <r>
    <n v="2000010482"/>
    <s v="Verndale Area Christian Academy"/>
    <x v="49"/>
    <x v="49"/>
    <s v="SNP"/>
    <x v="0"/>
    <x v="0"/>
    <n v="0"/>
    <s v="APPR"/>
    <x v="1"/>
    <m/>
    <s v="Reduced"/>
    <x v="1"/>
    <m/>
    <s v="S6201"/>
    <s v=" "/>
    <s v="Resolved"/>
    <n v="0.52500000000000002"/>
    <n v="103"/>
    <n v="54.07"/>
    <n v="46268.655147939811"/>
    <s v="MN-FSM"/>
  </r>
  <r>
    <n v="2000010482"/>
    <s v="Verndale Area Christian Academy"/>
    <x v="49"/>
    <x v="49"/>
    <s v="SNP"/>
    <x v="0"/>
    <x v="0"/>
    <n v="0"/>
    <s v="APPR"/>
    <x v="1"/>
    <m/>
    <s v="Regular"/>
    <x v="1"/>
    <m/>
    <s v="S6201"/>
    <s v=" "/>
    <s v="Resolved"/>
    <n v="4.4349999999999996"/>
    <n v="290"/>
    <n v="1286.1500000000001"/>
    <n v="46268.655147939811"/>
    <s v="MN-FSM"/>
  </r>
  <r>
    <n v="1000004376"/>
    <s v="Village Ranch"/>
    <x v="50"/>
    <x v="50"/>
    <s v="SNP"/>
    <x v="0"/>
    <x v="0"/>
    <n v="0"/>
    <s v="APPR"/>
    <x v="0"/>
    <m/>
    <s v="Free"/>
    <x v="0"/>
    <m/>
    <s v="10553"/>
    <s v=" "/>
    <s v="Resolved"/>
    <n v="3.05"/>
    <n v="225"/>
    <n v="686.25"/>
    <n v="46268.655147939811"/>
    <s v="Severe need"/>
  </r>
  <r>
    <n v="1000004376"/>
    <s v="Village Ranch"/>
    <x v="50"/>
    <x v="50"/>
    <s v="SNP"/>
    <x v="0"/>
    <x v="0"/>
    <n v="0"/>
    <s v="APPR"/>
    <x v="1"/>
    <m/>
    <s v="Free"/>
    <x v="0"/>
    <m/>
    <s v="10555"/>
    <s v="004"/>
    <s v="Resolved"/>
    <n v="4.3099999999999996"/>
    <n v="219"/>
    <n v="943.89"/>
    <n v="46268.655147939811"/>
    <s v="60 percent or over"/>
  </r>
  <r>
    <n v="1000004376"/>
    <s v="Village Ranch"/>
    <x v="50"/>
    <x v="50"/>
    <s v="SNP"/>
    <x v="0"/>
    <x v="0"/>
    <n v="0"/>
    <s v="APPR"/>
    <x v="1"/>
    <m/>
    <s v="HHFKA"/>
    <x v="0"/>
    <m/>
    <s v="10555"/>
    <s v="006"/>
    <s v="Resolved"/>
    <n v="0.09"/>
    <n v="219"/>
    <n v="19.71"/>
    <n v="46268.655147939811"/>
    <s v="Qualified"/>
  </r>
  <r>
    <n v="1000004376"/>
    <s v="Village Ranch"/>
    <x v="50"/>
    <x v="50"/>
    <s v="SNP"/>
    <x v="0"/>
    <x v="0"/>
    <n v="0"/>
    <s v="APPR"/>
    <x v="1"/>
    <m/>
    <s v="Total"/>
    <x v="0"/>
    <m/>
    <s v="10555"/>
    <s v="002"/>
    <s v="Resolved"/>
    <n v="0.47"/>
    <n v="219"/>
    <n v="102.93"/>
    <n v="46268.655147939811"/>
    <s v="60 percent or over"/>
  </r>
  <r>
    <n v="1000004376"/>
    <s v="Village Ranch"/>
    <x v="50"/>
    <x v="50"/>
    <s v="SNP"/>
    <x v="0"/>
    <x v="0"/>
    <n v="0"/>
    <s v="APPR"/>
    <x v="1"/>
    <m/>
    <s v="Free"/>
    <x v="1"/>
    <m/>
    <s v="S6201"/>
    <s v=" "/>
    <s v="Resolved"/>
    <n v="0.125"/>
    <n v="219"/>
    <n v="27.37"/>
    <n v="46268.655147939811"/>
    <s v="MN-FSM"/>
  </r>
  <r>
    <n v="1000004376"/>
    <s v="Village Ranch"/>
    <x v="51"/>
    <x v="51"/>
    <s v="SNP"/>
    <x v="0"/>
    <x v="0"/>
    <n v="0"/>
    <s v="APPR"/>
    <x v="0"/>
    <m/>
    <s v="Free"/>
    <x v="0"/>
    <m/>
    <s v="10553"/>
    <s v=" "/>
    <s v="Resolved"/>
    <n v="3.05"/>
    <n v="875"/>
    <n v="2668.75"/>
    <n v="46268.655147939811"/>
    <s v="Severe need"/>
  </r>
  <r>
    <n v="1000004376"/>
    <s v="Village Ranch"/>
    <x v="51"/>
    <x v="51"/>
    <s v="SNP"/>
    <x v="0"/>
    <x v="0"/>
    <n v="0"/>
    <s v="APPR"/>
    <x v="1"/>
    <m/>
    <s v="Free"/>
    <x v="0"/>
    <m/>
    <s v="10555"/>
    <s v="004"/>
    <s v="Resolved"/>
    <n v="4.3099999999999996"/>
    <n v="850"/>
    <n v="3663.5"/>
    <n v="46268.655147939811"/>
    <s v="60 percent or over"/>
  </r>
  <r>
    <n v="1000004376"/>
    <s v="Village Ranch"/>
    <x v="51"/>
    <x v="51"/>
    <s v="SNP"/>
    <x v="0"/>
    <x v="0"/>
    <n v="0"/>
    <s v="APPR"/>
    <x v="1"/>
    <m/>
    <s v="HHFKA"/>
    <x v="0"/>
    <m/>
    <s v="10555"/>
    <s v="006"/>
    <s v="Resolved"/>
    <n v="0.09"/>
    <n v="850"/>
    <n v="76.5"/>
    <n v="46268.655147939811"/>
    <s v="Qualified"/>
  </r>
  <r>
    <n v="1000004376"/>
    <s v="Village Ranch"/>
    <x v="51"/>
    <x v="51"/>
    <s v="SNP"/>
    <x v="0"/>
    <x v="0"/>
    <n v="0"/>
    <s v="APPR"/>
    <x v="1"/>
    <m/>
    <s v="Total"/>
    <x v="0"/>
    <m/>
    <s v="10555"/>
    <s v="002"/>
    <s v="Resolved"/>
    <n v="0.47"/>
    <n v="850"/>
    <n v="399.5"/>
    <n v="46268.655147939811"/>
    <s v="60 percent or over"/>
  </r>
  <r>
    <n v="1000004376"/>
    <s v="Village Ranch"/>
    <x v="51"/>
    <x v="51"/>
    <s v="SNP"/>
    <x v="0"/>
    <x v="0"/>
    <n v="0"/>
    <s v="APPR"/>
    <x v="1"/>
    <m/>
    <s v="Free"/>
    <x v="1"/>
    <m/>
    <s v="S6201"/>
    <s v=" "/>
    <s v="Resolved"/>
    <n v="0.125"/>
    <n v="850"/>
    <n v="106.25"/>
    <n v="46268.655147939811"/>
    <s v="MN-FSM"/>
  </r>
  <r>
    <n v="1000003888"/>
    <s v="Wayzata ISD #284"/>
    <x v="52"/>
    <x v="52"/>
    <s v="SNP"/>
    <x v="0"/>
    <x v="0"/>
    <n v="0"/>
    <s v="APPR"/>
    <x v="0"/>
    <m/>
    <s v="Free"/>
    <x v="0"/>
    <m/>
    <s v="10553"/>
    <s v=" "/>
    <s v="Resolved"/>
    <n v="2.54"/>
    <n v="523"/>
    <n v="1328.42"/>
    <n v="46268.655147939811"/>
    <s v="Non-severe need"/>
  </r>
  <r>
    <n v="1000003888"/>
    <s v="Wayzata ISD #284"/>
    <x v="52"/>
    <x v="52"/>
    <s v="SNP"/>
    <x v="0"/>
    <x v="0"/>
    <n v="0"/>
    <s v="APPR"/>
    <x v="0"/>
    <m/>
    <s v="Reduced"/>
    <x v="0"/>
    <m/>
    <s v="10553"/>
    <s v=" "/>
    <s v="Resolved"/>
    <n v="2.2400000000000002"/>
    <n v="104"/>
    <n v="232.96"/>
    <n v="46268.655147939811"/>
    <s v="Non-severe need"/>
  </r>
  <r>
    <n v="1000003888"/>
    <s v="Wayzata ISD #284"/>
    <x v="52"/>
    <x v="52"/>
    <s v="SNP"/>
    <x v="0"/>
    <x v="0"/>
    <n v="0"/>
    <s v="APPR"/>
    <x v="0"/>
    <m/>
    <s v="Regular"/>
    <x v="0"/>
    <m/>
    <s v="10553"/>
    <s v=" "/>
    <s v="Resolved"/>
    <n v="0.42"/>
    <n v="806"/>
    <n v="338.52"/>
    <n v="46268.655147939811"/>
    <s v="Non-severe need"/>
  </r>
  <r>
    <n v="1000003888"/>
    <s v="Wayzata ISD #284"/>
    <x v="52"/>
    <x v="52"/>
    <s v="SNP"/>
    <x v="0"/>
    <x v="0"/>
    <n v="0"/>
    <s v="APPR"/>
    <x v="1"/>
    <m/>
    <s v="Free"/>
    <x v="0"/>
    <m/>
    <s v="10555"/>
    <s v="004"/>
    <s v="Resolved"/>
    <n v="4.3099999999999996"/>
    <n v="833"/>
    <n v="3590.23"/>
    <n v="46268.655147939811"/>
    <s v="Less than 60 percent"/>
  </r>
  <r>
    <n v="1000003888"/>
    <s v="Wayzata ISD #284"/>
    <x v="52"/>
    <x v="52"/>
    <s v="SNP"/>
    <x v="0"/>
    <x v="0"/>
    <n v="0"/>
    <s v="APPR"/>
    <x v="1"/>
    <m/>
    <s v="HHFKA"/>
    <x v="0"/>
    <m/>
    <s v="10555"/>
    <s v="006"/>
    <s v="Resolved"/>
    <n v="0.09"/>
    <n v="2676"/>
    <n v="240.84"/>
    <n v="46268.655147939811"/>
    <s v="Qualified"/>
  </r>
  <r>
    <n v="1000003888"/>
    <s v="Wayzata ISD #284"/>
    <x v="52"/>
    <x v="52"/>
    <s v="SNP"/>
    <x v="0"/>
    <x v="0"/>
    <n v="0"/>
    <s v="APPR"/>
    <x v="1"/>
    <m/>
    <s v="Reduced"/>
    <x v="0"/>
    <m/>
    <s v="10555"/>
    <s v="004"/>
    <s v="Resolved"/>
    <n v="3.91"/>
    <n v="166"/>
    <n v="649.05999999999995"/>
    <n v="46268.655147939811"/>
    <s v="Less than 60 percent"/>
  </r>
  <r>
    <n v="1000003888"/>
    <s v="Wayzata ISD #284"/>
    <x v="52"/>
    <x v="52"/>
    <s v="SNP"/>
    <x v="0"/>
    <x v="0"/>
    <n v="0"/>
    <s v="APPR"/>
    <x v="1"/>
    <m/>
    <s v="Total"/>
    <x v="0"/>
    <m/>
    <s v="10555"/>
    <s v="002"/>
    <s v="Resolved"/>
    <n v="0.45"/>
    <n v="2676"/>
    <n v="1204.2"/>
    <n v="46268.655147939811"/>
    <s v="Less than 60 percent"/>
  </r>
  <r>
    <n v="1000003888"/>
    <s v="Wayzata ISD #284"/>
    <x v="52"/>
    <x v="52"/>
    <s v="SNP"/>
    <x v="0"/>
    <x v="0"/>
    <n v="0"/>
    <s v="APPR"/>
    <x v="0"/>
    <m/>
    <s v="Reduced"/>
    <x v="1"/>
    <m/>
    <s v="S6210"/>
    <s v=" "/>
    <s v="Resolved"/>
    <n v="0.3"/>
    <n v="104"/>
    <n v="31.2"/>
    <n v="46268.655147939811"/>
    <s v="MN-FSM"/>
  </r>
  <r>
    <n v="1000003888"/>
    <s v="Wayzata ISD #284"/>
    <x v="52"/>
    <x v="52"/>
    <s v="SNP"/>
    <x v="0"/>
    <x v="0"/>
    <n v="0"/>
    <s v="APPR"/>
    <x v="0"/>
    <m/>
    <s v="Regular"/>
    <x v="1"/>
    <m/>
    <s v="S6210"/>
    <s v=" "/>
    <s v="Resolved"/>
    <n v="2.12"/>
    <n v="806"/>
    <n v="1708.72"/>
    <n v="46268.655147939811"/>
    <s v="MN-FSM Non-severe Need"/>
  </r>
  <r>
    <n v="1000003888"/>
    <s v="Wayzata ISD #284"/>
    <x v="52"/>
    <x v="52"/>
    <s v="SNP"/>
    <x v="0"/>
    <x v="0"/>
    <n v="0"/>
    <s v="APPR"/>
    <x v="1"/>
    <m/>
    <s v="Free"/>
    <x v="1"/>
    <m/>
    <s v="S6201"/>
    <s v=" "/>
    <s v="Resolved"/>
    <n v="0.125"/>
    <n v="833"/>
    <n v="104.12"/>
    <n v="46268.655147939811"/>
    <s v="MN-FSM"/>
  </r>
  <r>
    <n v="1000003888"/>
    <s v="Wayzata ISD #284"/>
    <x v="52"/>
    <x v="52"/>
    <s v="SNP"/>
    <x v="0"/>
    <x v="0"/>
    <n v="0"/>
    <s v="APPR"/>
    <x v="1"/>
    <m/>
    <s v="Reduced"/>
    <x v="1"/>
    <m/>
    <s v="S6201"/>
    <s v=" "/>
    <s v="Resolved"/>
    <n v="0.52500000000000002"/>
    <n v="166"/>
    <n v="87.15"/>
    <n v="46268.655147939811"/>
    <s v="MN-FSM"/>
  </r>
  <r>
    <n v="1000003888"/>
    <s v="Wayzata ISD #284"/>
    <x v="52"/>
    <x v="52"/>
    <s v="SNP"/>
    <x v="0"/>
    <x v="0"/>
    <n v="0"/>
    <s v="APPR"/>
    <x v="1"/>
    <m/>
    <s v="Regular"/>
    <x v="1"/>
    <m/>
    <s v="S6201"/>
    <s v=" "/>
    <s v="Resolved"/>
    <n v="4.4349999999999996"/>
    <n v="1677"/>
    <n v="7437.49"/>
    <n v="46268.655147939811"/>
    <s v="MN-FSM"/>
  </r>
  <r>
    <n v="1000003888"/>
    <s v="Wayzata ISD #284"/>
    <x v="53"/>
    <x v="53"/>
    <s v="SNP"/>
    <x v="0"/>
    <x v="0"/>
    <n v="0"/>
    <s v="APPR"/>
    <x v="0"/>
    <m/>
    <s v="Free"/>
    <x v="0"/>
    <m/>
    <s v="10553"/>
    <s v=" "/>
    <s v="Resolved"/>
    <n v="2.54"/>
    <n v="321"/>
    <n v="815.34"/>
    <n v="46268.655147939811"/>
    <s v="Non-severe need"/>
  </r>
  <r>
    <n v="1000003888"/>
    <s v="Wayzata ISD #284"/>
    <x v="53"/>
    <x v="53"/>
    <s v="SNP"/>
    <x v="0"/>
    <x v="0"/>
    <n v="0"/>
    <s v="APPR"/>
    <x v="0"/>
    <m/>
    <s v="Reduced"/>
    <x v="0"/>
    <m/>
    <s v="10553"/>
    <s v=" "/>
    <s v="Resolved"/>
    <n v="2.2400000000000002"/>
    <n v="69"/>
    <n v="154.56"/>
    <n v="46268.655147939811"/>
    <s v="Non-severe need"/>
  </r>
  <r>
    <n v="1000003888"/>
    <s v="Wayzata ISD #284"/>
    <x v="53"/>
    <x v="53"/>
    <s v="SNP"/>
    <x v="0"/>
    <x v="0"/>
    <n v="0"/>
    <s v="APPR"/>
    <x v="0"/>
    <m/>
    <s v="Regular"/>
    <x v="0"/>
    <m/>
    <s v="10553"/>
    <s v=" "/>
    <s v="Resolved"/>
    <n v="0.42"/>
    <n v="364"/>
    <n v="152.88"/>
    <n v="46268.655147939811"/>
    <s v="Non-severe need"/>
  </r>
  <r>
    <n v="1000003888"/>
    <s v="Wayzata ISD #284"/>
    <x v="53"/>
    <x v="53"/>
    <s v="SNP"/>
    <x v="0"/>
    <x v="0"/>
    <n v="0"/>
    <s v="APPR"/>
    <x v="1"/>
    <m/>
    <s v="Free"/>
    <x v="0"/>
    <m/>
    <s v="10555"/>
    <s v="004"/>
    <s v="Resolved"/>
    <n v="4.3099999999999996"/>
    <n v="491"/>
    <n v="2116.21"/>
    <n v="46268.655147939811"/>
    <s v="Less than 60 percent"/>
  </r>
  <r>
    <n v="1000003888"/>
    <s v="Wayzata ISD #284"/>
    <x v="53"/>
    <x v="53"/>
    <s v="SNP"/>
    <x v="0"/>
    <x v="0"/>
    <n v="0"/>
    <s v="APPR"/>
    <x v="1"/>
    <m/>
    <s v="HHFKA"/>
    <x v="0"/>
    <m/>
    <s v="10555"/>
    <s v="006"/>
    <s v="Resolved"/>
    <n v="0.09"/>
    <n v="1189"/>
    <n v="107.01"/>
    <n v="46268.655147939811"/>
    <s v="Qualified"/>
  </r>
  <r>
    <n v="1000003888"/>
    <s v="Wayzata ISD #284"/>
    <x v="53"/>
    <x v="53"/>
    <s v="SNP"/>
    <x v="0"/>
    <x v="0"/>
    <n v="0"/>
    <s v="APPR"/>
    <x v="1"/>
    <m/>
    <s v="Reduced"/>
    <x v="0"/>
    <m/>
    <s v="10555"/>
    <s v="004"/>
    <s v="Resolved"/>
    <n v="3.91"/>
    <n v="104"/>
    <n v="406.64"/>
    <n v="46268.655147939811"/>
    <s v="Less than 60 percent"/>
  </r>
  <r>
    <n v="1000003888"/>
    <s v="Wayzata ISD #284"/>
    <x v="53"/>
    <x v="53"/>
    <s v="SNP"/>
    <x v="0"/>
    <x v="0"/>
    <n v="0"/>
    <s v="APPR"/>
    <x v="1"/>
    <m/>
    <s v="Total"/>
    <x v="0"/>
    <m/>
    <s v="10555"/>
    <s v="002"/>
    <s v="Resolved"/>
    <n v="0.45"/>
    <n v="1189"/>
    <n v="535.04999999999995"/>
    <n v="46268.655147939811"/>
    <s v="Less than 60 percent"/>
  </r>
  <r>
    <n v="1000003888"/>
    <s v="Wayzata ISD #284"/>
    <x v="53"/>
    <x v="53"/>
    <s v="SNP"/>
    <x v="0"/>
    <x v="0"/>
    <n v="0"/>
    <s v="APPR"/>
    <x v="0"/>
    <m/>
    <s v="Reduced"/>
    <x v="1"/>
    <m/>
    <s v="S6210"/>
    <s v=" "/>
    <s v="Resolved"/>
    <n v="0.3"/>
    <n v="69"/>
    <n v="20.7"/>
    <n v="46268.655147939811"/>
    <s v="MN-FSM"/>
  </r>
  <r>
    <n v="1000003888"/>
    <s v="Wayzata ISD #284"/>
    <x v="53"/>
    <x v="53"/>
    <s v="SNP"/>
    <x v="0"/>
    <x v="0"/>
    <n v="0"/>
    <s v="APPR"/>
    <x v="0"/>
    <m/>
    <s v="Regular"/>
    <x v="1"/>
    <m/>
    <s v="S6210"/>
    <s v=" "/>
    <s v="Resolved"/>
    <n v="2.12"/>
    <n v="364"/>
    <n v="771.68"/>
    <n v="46268.655147939811"/>
    <s v="MN-FSM Non-severe Need"/>
  </r>
  <r>
    <n v="1000003888"/>
    <s v="Wayzata ISD #284"/>
    <x v="53"/>
    <x v="53"/>
    <s v="SNP"/>
    <x v="0"/>
    <x v="0"/>
    <n v="0"/>
    <s v="APPR"/>
    <x v="1"/>
    <m/>
    <s v="Free"/>
    <x v="1"/>
    <m/>
    <s v="S6201"/>
    <s v=" "/>
    <s v="Resolved"/>
    <n v="0.125"/>
    <n v="491"/>
    <n v="61.37"/>
    <n v="46268.655147939811"/>
    <s v="MN-FSM"/>
  </r>
  <r>
    <n v="1000003888"/>
    <s v="Wayzata ISD #284"/>
    <x v="53"/>
    <x v="53"/>
    <s v="SNP"/>
    <x v="0"/>
    <x v="0"/>
    <n v="0"/>
    <s v="APPR"/>
    <x v="1"/>
    <m/>
    <s v="Reduced"/>
    <x v="1"/>
    <m/>
    <s v="S6201"/>
    <s v=" "/>
    <s v="Resolved"/>
    <n v="0.52500000000000002"/>
    <n v="104"/>
    <n v="54.6"/>
    <n v="46268.655147939811"/>
    <s v="MN-FSM"/>
  </r>
  <r>
    <n v="1000003888"/>
    <s v="Wayzata ISD #284"/>
    <x v="53"/>
    <x v="53"/>
    <s v="SNP"/>
    <x v="0"/>
    <x v="0"/>
    <n v="0"/>
    <s v="APPR"/>
    <x v="1"/>
    <m/>
    <s v="Regular"/>
    <x v="1"/>
    <m/>
    <s v="S6201"/>
    <s v=" "/>
    <s v="Resolved"/>
    <n v="4.4349999999999996"/>
    <n v="594"/>
    <n v="2634.39"/>
    <n v="46268.655147939811"/>
    <s v="MN-FSM"/>
  </r>
  <r>
    <n v="1000003888"/>
    <s v="Wayzata ISD #284"/>
    <x v="54"/>
    <x v="54"/>
    <s v="SNP"/>
    <x v="0"/>
    <x v="0"/>
    <n v="0"/>
    <s v="APPR"/>
    <x v="0"/>
    <m/>
    <s v="Free"/>
    <x v="0"/>
    <m/>
    <s v="10553"/>
    <s v=" "/>
    <s v="Resolved"/>
    <n v="2.54"/>
    <n v="70"/>
    <n v="177.8"/>
    <n v="46268.655147939811"/>
    <s v="Non-severe need"/>
  </r>
  <r>
    <n v="1000003888"/>
    <s v="Wayzata ISD #284"/>
    <x v="54"/>
    <x v="54"/>
    <s v="SNP"/>
    <x v="0"/>
    <x v="0"/>
    <n v="0"/>
    <s v="APPR"/>
    <x v="0"/>
    <m/>
    <s v="Reduced"/>
    <x v="0"/>
    <m/>
    <s v="10553"/>
    <s v=" "/>
    <s v="Resolved"/>
    <n v="2.2400000000000002"/>
    <n v="7"/>
    <n v="15.68"/>
    <n v="46268.655147939811"/>
    <s v="Non-severe need"/>
  </r>
  <r>
    <n v="1000003888"/>
    <s v="Wayzata ISD #284"/>
    <x v="54"/>
    <x v="54"/>
    <s v="SNP"/>
    <x v="0"/>
    <x v="0"/>
    <n v="0"/>
    <s v="APPR"/>
    <x v="0"/>
    <m/>
    <s v="Regular"/>
    <x v="0"/>
    <m/>
    <s v="10553"/>
    <s v=" "/>
    <s v="Resolved"/>
    <n v="0.42"/>
    <n v="69"/>
    <n v="28.98"/>
    <n v="46268.655147939811"/>
    <s v="Non-severe need"/>
  </r>
  <r>
    <n v="1000003888"/>
    <s v="Wayzata ISD #284"/>
    <x v="54"/>
    <x v="54"/>
    <s v="SNP"/>
    <x v="0"/>
    <x v="0"/>
    <n v="0"/>
    <s v="APPR"/>
    <x v="1"/>
    <m/>
    <s v="Free"/>
    <x v="0"/>
    <m/>
    <s v="10555"/>
    <s v="004"/>
    <s v="Resolved"/>
    <n v="4.3099999999999996"/>
    <n v="142"/>
    <n v="612.02"/>
    <n v="46268.655147939811"/>
    <s v="Less than 60 percent"/>
  </r>
  <r>
    <n v="1000003888"/>
    <s v="Wayzata ISD #284"/>
    <x v="54"/>
    <x v="54"/>
    <s v="SNP"/>
    <x v="0"/>
    <x v="0"/>
    <n v="0"/>
    <s v="APPR"/>
    <x v="1"/>
    <m/>
    <s v="HHFKA"/>
    <x v="0"/>
    <m/>
    <s v="10555"/>
    <s v="006"/>
    <s v="Resolved"/>
    <n v="0.09"/>
    <n v="473"/>
    <n v="42.57"/>
    <n v="46268.655147939811"/>
    <s v="Qualified"/>
  </r>
  <r>
    <n v="1000003888"/>
    <s v="Wayzata ISD #284"/>
    <x v="54"/>
    <x v="54"/>
    <s v="SNP"/>
    <x v="0"/>
    <x v="0"/>
    <n v="0"/>
    <s v="APPR"/>
    <x v="1"/>
    <m/>
    <s v="Reduced"/>
    <x v="0"/>
    <m/>
    <s v="10555"/>
    <s v="004"/>
    <s v="Resolved"/>
    <n v="3.91"/>
    <n v="12"/>
    <n v="46.92"/>
    <n v="46268.655147939811"/>
    <s v="Less than 60 percent"/>
  </r>
  <r>
    <n v="1000003888"/>
    <s v="Wayzata ISD #284"/>
    <x v="54"/>
    <x v="54"/>
    <s v="SNP"/>
    <x v="0"/>
    <x v="0"/>
    <n v="0"/>
    <s v="APPR"/>
    <x v="1"/>
    <m/>
    <s v="Total"/>
    <x v="0"/>
    <m/>
    <s v="10555"/>
    <s v="002"/>
    <s v="Resolved"/>
    <n v="0.45"/>
    <n v="473"/>
    <n v="212.85"/>
    <n v="46268.655147939811"/>
    <s v="Less than 60 percent"/>
  </r>
  <r>
    <n v="1000003888"/>
    <s v="Wayzata ISD #284"/>
    <x v="54"/>
    <x v="54"/>
    <s v="SNP"/>
    <x v="0"/>
    <x v="0"/>
    <n v="0"/>
    <s v="APPR"/>
    <x v="0"/>
    <m/>
    <s v="Reduced"/>
    <x v="1"/>
    <m/>
    <s v="S6210"/>
    <s v=" "/>
    <s v="Resolved"/>
    <n v="0.3"/>
    <n v="7"/>
    <n v="2.1"/>
    <n v="46268.655147939811"/>
    <s v="MN-FSM"/>
  </r>
  <r>
    <n v="1000003888"/>
    <s v="Wayzata ISD #284"/>
    <x v="54"/>
    <x v="54"/>
    <s v="SNP"/>
    <x v="0"/>
    <x v="0"/>
    <n v="0"/>
    <s v="APPR"/>
    <x v="0"/>
    <m/>
    <s v="Regular"/>
    <x v="1"/>
    <m/>
    <s v="S6210"/>
    <s v=" "/>
    <s v="Resolved"/>
    <n v="2.12"/>
    <n v="69"/>
    <n v="146.28"/>
    <n v="46268.655147939811"/>
    <s v="MN-FSM Non-severe Need"/>
  </r>
  <r>
    <n v="1000003888"/>
    <s v="Wayzata ISD #284"/>
    <x v="54"/>
    <x v="54"/>
    <s v="SNP"/>
    <x v="0"/>
    <x v="0"/>
    <n v="0"/>
    <s v="APPR"/>
    <x v="1"/>
    <m/>
    <s v="Free"/>
    <x v="1"/>
    <m/>
    <s v="S6201"/>
    <s v=" "/>
    <s v="Resolved"/>
    <n v="0.125"/>
    <n v="142"/>
    <n v="17.75"/>
    <n v="46268.655147939811"/>
    <s v="MN-FSM"/>
  </r>
  <r>
    <n v="1000003888"/>
    <s v="Wayzata ISD #284"/>
    <x v="54"/>
    <x v="54"/>
    <s v="SNP"/>
    <x v="0"/>
    <x v="0"/>
    <n v="0"/>
    <s v="APPR"/>
    <x v="1"/>
    <m/>
    <s v="Reduced"/>
    <x v="1"/>
    <m/>
    <s v="S6201"/>
    <s v=" "/>
    <s v="Resolved"/>
    <n v="0.52500000000000002"/>
    <n v="12"/>
    <n v="6.3"/>
    <n v="46268.655147939811"/>
    <s v="MN-FSM"/>
  </r>
  <r>
    <n v="1000003888"/>
    <s v="Wayzata ISD #284"/>
    <x v="54"/>
    <x v="54"/>
    <s v="SNP"/>
    <x v="0"/>
    <x v="0"/>
    <n v="0"/>
    <s v="APPR"/>
    <x v="1"/>
    <m/>
    <s v="Regular"/>
    <x v="1"/>
    <m/>
    <s v="S6201"/>
    <s v=" "/>
    <s v="Resolved"/>
    <n v="4.4349999999999996"/>
    <n v="319"/>
    <n v="1414.76"/>
    <n v="46268.655147939811"/>
    <s v="MN-FSM"/>
  </r>
  <r>
    <n v="1000006260"/>
    <s v="West Central Regional Juvenile Center"/>
    <x v="55"/>
    <x v="55"/>
    <s v="SNP"/>
    <x v="0"/>
    <x v="0"/>
    <n v="0"/>
    <s v="APPR"/>
    <x v="2"/>
    <m/>
    <s v="Free"/>
    <x v="0"/>
    <m/>
    <s v="10555"/>
    <s v="SNA"/>
    <s v="Resolved"/>
    <n v="1.3"/>
    <n v="657"/>
    <n v="854.1"/>
    <n v="46268.655147939811"/>
    <s v=" "/>
  </r>
  <r>
    <n v="1000006260"/>
    <s v="West Central Regional Juvenile Center"/>
    <x v="55"/>
    <x v="55"/>
    <s v="SNP"/>
    <x v="0"/>
    <x v="0"/>
    <n v="0"/>
    <s v="APPR"/>
    <x v="0"/>
    <m/>
    <s v="Free"/>
    <x v="0"/>
    <m/>
    <s v="10553"/>
    <s v=" "/>
    <s v="Resolved"/>
    <n v="3.05"/>
    <n v="1673"/>
    <n v="5102.6499999999996"/>
    <n v="46268.655147939811"/>
    <s v="Severe need"/>
  </r>
  <r>
    <n v="1000006260"/>
    <s v="West Central Regional Juvenile Center"/>
    <x v="55"/>
    <x v="55"/>
    <s v="SNP"/>
    <x v="0"/>
    <x v="0"/>
    <n v="0"/>
    <s v="APPR"/>
    <x v="1"/>
    <m/>
    <s v="Free"/>
    <x v="0"/>
    <m/>
    <s v="10555"/>
    <s v="004"/>
    <s v="Resolved"/>
    <n v="4.3099999999999996"/>
    <n v="1691"/>
    <n v="7288.21"/>
    <n v="46268.655147939811"/>
    <s v="60 percent or over"/>
  </r>
  <r>
    <n v="1000006260"/>
    <s v="West Central Regional Juvenile Center"/>
    <x v="55"/>
    <x v="55"/>
    <s v="SNP"/>
    <x v="0"/>
    <x v="0"/>
    <n v="0"/>
    <s v="APPR"/>
    <x v="1"/>
    <m/>
    <s v="HHFKA"/>
    <x v="0"/>
    <m/>
    <s v="10555"/>
    <s v="006"/>
    <s v="Resolved"/>
    <n v="0.09"/>
    <n v="1691"/>
    <n v="152.19"/>
    <n v="46268.655147939811"/>
    <s v="Qualified"/>
  </r>
  <r>
    <n v="1000006260"/>
    <s v="West Central Regional Juvenile Center"/>
    <x v="55"/>
    <x v="55"/>
    <s v="SNP"/>
    <x v="0"/>
    <x v="0"/>
    <n v="0"/>
    <s v="APPR"/>
    <x v="1"/>
    <m/>
    <s v="Total"/>
    <x v="0"/>
    <m/>
    <s v="10555"/>
    <s v="002"/>
    <s v="Resolved"/>
    <n v="0.47"/>
    <n v="1691"/>
    <n v="794.77"/>
    <n v="46268.655147939811"/>
    <s v="60 percent or over"/>
  </r>
  <r>
    <n v="1000006260"/>
    <s v="West Central Regional Juvenile Center"/>
    <x v="55"/>
    <x v="55"/>
    <s v="SNP"/>
    <x v="0"/>
    <x v="0"/>
    <n v="0"/>
    <s v="APPR"/>
    <x v="1"/>
    <m/>
    <s v="Free"/>
    <x v="1"/>
    <m/>
    <s v="S6201"/>
    <s v=" "/>
    <s v="Resolved"/>
    <n v="0.125"/>
    <n v="1691"/>
    <n v="211.37"/>
    <n v="46268.655147939811"/>
    <s v="MN-FSM"/>
  </r>
  <r>
    <n v="1000003984"/>
    <s v="White Bear Lake ISD #624"/>
    <x v="56"/>
    <x v="56"/>
    <s v="SNP"/>
    <x v="0"/>
    <x v="0"/>
    <n v="0"/>
    <s v="APPR"/>
    <x v="0"/>
    <m/>
    <s v="Free"/>
    <x v="0"/>
    <m/>
    <s v="10553"/>
    <s v=" "/>
    <s v="Resolved"/>
    <n v="2.54"/>
    <n v="200"/>
    <n v="508"/>
    <n v="46268.655147939811"/>
    <s v="Non-severe need"/>
  </r>
  <r>
    <n v="1000003984"/>
    <s v="White Bear Lake ISD #624"/>
    <x v="56"/>
    <x v="56"/>
    <s v="SNP"/>
    <x v="0"/>
    <x v="0"/>
    <n v="0"/>
    <s v="APPR"/>
    <x v="0"/>
    <m/>
    <s v="Reduced"/>
    <x v="0"/>
    <m/>
    <s v="10553"/>
    <s v=" "/>
    <s v="Resolved"/>
    <n v="2.2400000000000002"/>
    <n v="5"/>
    <n v="11.2"/>
    <n v="46268.655147939811"/>
    <s v="Non-severe need"/>
  </r>
  <r>
    <n v="1000003984"/>
    <s v="White Bear Lake ISD #624"/>
    <x v="56"/>
    <x v="56"/>
    <s v="SNP"/>
    <x v="0"/>
    <x v="0"/>
    <n v="0"/>
    <s v="APPR"/>
    <x v="0"/>
    <m/>
    <s v="Regular"/>
    <x v="0"/>
    <m/>
    <s v="10553"/>
    <s v=" "/>
    <s v="Resolved"/>
    <n v="0.42"/>
    <n v="415"/>
    <n v="174.3"/>
    <n v="46268.655147939811"/>
    <s v="Non-severe need"/>
  </r>
  <r>
    <n v="1000003984"/>
    <s v="White Bear Lake ISD #624"/>
    <x v="56"/>
    <x v="56"/>
    <s v="SNP"/>
    <x v="0"/>
    <x v="0"/>
    <n v="0"/>
    <s v="APPR"/>
    <x v="1"/>
    <m/>
    <s v="Free"/>
    <x v="0"/>
    <m/>
    <s v="10555"/>
    <s v="004"/>
    <s v="Resolved"/>
    <n v="4.3099999999999996"/>
    <n v="201"/>
    <n v="866.31"/>
    <n v="46268.655147939811"/>
    <s v="Less than 60 percent"/>
  </r>
  <r>
    <n v="1000003984"/>
    <s v="White Bear Lake ISD #624"/>
    <x v="56"/>
    <x v="56"/>
    <s v="SNP"/>
    <x v="0"/>
    <x v="0"/>
    <n v="0"/>
    <s v="APPR"/>
    <x v="1"/>
    <m/>
    <s v="HHFKA"/>
    <x v="0"/>
    <m/>
    <s v="10555"/>
    <s v="006"/>
    <s v="Resolved"/>
    <n v="0.09"/>
    <n v="630"/>
    <n v="56.7"/>
    <n v="46268.655147939811"/>
    <s v="Qualified"/>
  </r>
  <r>
    <n v="1000003984"/>
    <s v="White Bear Lake ISD #624"/>
    <x v="56"/>
    <x v="56"/>
    <s v="SNP"/>
    <x v="0"/>
    <x v="0"/>
    <n v="0"/>
    <s v="APPR"/>
    <x v="1"/>
    <m/>
    <s v="Reduced"/>
    <x v="0"/>
    <m/>
    <s v="10555"/>
    <s v="004"/>
    <s v="Resolved"/>
    <n v="3.91"/>
    <n v="5"/>
    <n v="19.55"/>
    <n v="46268.655147939811"/>
    <s v="Less than 60 percent"/>
  </r>
  <r>
    <n v="1000003984"/>
    <s v="White Bear Lake ISD #624"/>
    <x v="56"/>
    <x v="56"/>
    <s v="SNP"/>
    <x v="0"/>
    <x v="0"/>
    <n v="0"/>
    <s v="APPR"/>
    <x v="1"/>
    <m/>
    <s v="Total"/>
    <x v="0"/>
    <m/>
    <s v="10555"/>
    <s v="002"/>
    <s v="Resolved"/>
    <n v="0.45"/>
    <n v="630"/>
    <n v="283.5"/>
    <n v="46268.655147939811"/>
    <s v="Less than 60 percent"/>
  </r>
  <r>
    <n v="1000003984"/>
    <s v="White Bear Lake ISD #624"/>
    <x v="56"/>
    <x v="56"/>
    <s v="SNP"/>
    <x v="0"/>
    <x v="0"/>
    <n v="0"/>
    <s v="APPR"/>
    <x v="0"/>
    <m/>
    <s v="Reduced"/>
    <x v="1"/>
    <m/>
    <s v="S6210"/>
    <s v=" "/>
    <s v="Resolved"/>
    <n v="0.3"/>
    <n v="5"/>
    <n v="1.5"/>
    <n v="46268.655147939811"/>
    <s v="MN-FSM"/>
  </r>
  <r>
    <n v="1000003984"/>
    <s v="White Bear Lake ISD #624"/>
    <x v="56"/>
    <x v="56"/>
    <s v="SNP"/>
    <x v="0"/>
    <x v="0"/>
    <n v="0"/>
    <s v="APPR"/>
    <x v="0"/>
    <m/>
    <s v="Regular"/>
    <x v="1"/>
    <m/>
    <s v="S6210"/>
    <s v=" "/>
    <s v="Resolved"/>
    <n v="2.12"/>
    <n v="415"/>
    <n v="879.8"/>
    <n v="46268.655147939811"/>
    <s v="MN-FSM Non-severe Need"/>
  </r>
  <r>
    <n v="1000003984"/>
    <s v="White Bear Lake ISD #624"/>
    <x v="56"/>
    <x v="56"/>
    <s v="SNP"/>
    <x v="0"/>
    <x v="0"/>
    <n v="0"/>
    <s v="APPR"/>
    <x v="1"/>
    <m/>
    <s v="Free"/>
    <x v="1"/>
    <m/>
    <s v="S6201"/>
    <s v=" "/>
    <s v="Resolved"/>
    <n v="0.125"/>
    <n v="201"/>
    <n v="25.12"/>
    <n v="46268.655147939811"/>
    <s v="MN-FSM"/>
  </r>
  <r>
    <n v="1000003984"/>
    <s v="White Bear Lake ISD #624"/>
    <x v="56"/>
    <x v="56"/>
    <s v="SNP"/>
    <x v="0"/>
    <x v="0"/>
    <n v="0"/>
    <s v="APPR"/>
    <x v="1"/>
    <m/>
    <s v="Reduced"/>
    <x v="1"/>
    <m/>
    <s v="S6201"/>
    <s v=" "/>
    <s v="Resolved"/>
    <n v="0.52500000000000002"/>
    <n v="5"/>
    <n v="2.62"/>
    <n v="46268.655147939811"/>
    <s v="MN-FSM"/>
  </r>
  <r>
    <n v="1000003984"/>
    <s v="White Bear Lake ISD #624"/>
    <x v="56"/>
    <x v="56"/>
    <s v="SNP"/>
    <x v="0"/>
    <x v="0"/>
    <n v="0"/>
    <s v="APPR"/>
    <x v="1"/>
    <m/>
    <s v="Regular"/>
    <x v="1"/>
    <m/>
    <s v="S6201"/>
    <s v=" "/>
    <s v="Resolved"/>
    <n v="4.4349999999999996"/>
    <n v="424"/>
    <n v="1880.44"/>
    <n v="46268.655147939811"/>
    <s v="MN-FSM"/>
  </r>
  <r>
    <n v="1000003984"/>
    <s v="White Bear Lake ISD #624"/>
    <x v="57"/>
    <x v="57"/>
    <s v="SNP"/>
    <x v="0"/>
    <x v="0"/>
    <n v="0"/>
    <s v="APPR"/>
    <x v="0"/>
    <m/>
    <s v="Free"/>
    <x v="0"/>
    <m/>
    <s v="10553"/>
    <s v=" "/>
    <s v="Resolved"/>
    <n v="3.05"/>
    <n v="605"/>
    <n v="1845.25"/>
    <n v="46268.655147939811"/>
    <s v="Severe need"/>
  </r>
  <r>
    <n v="1000003984"/>
    <s v="White Bear Lake ISD #624"/>
    <x v="57"/>
    <x v="57"/>
    <s v="SNP"/>
    <x v="0"/>
    <x v="0"/>
    <n v="0"/>
    <s v="APPR"/>
    <x v="0"/>
    <m/>
    <s v="Reduced"/>
    <x v="0"/>
    <m/>
    <s v="10553"/>
    <s v=" "/>
    <s v="Resolved"/>
    <n v="2.75"/>
    <n v="85"/>
    <n v="233.75"/>
    <n v="46268.655147939811"/>
    <s v="Severe need"/>
  </r>
  <r>
    <n v="1000003984"/>
    <s v="White Bear Lake ISD #624"/>
    <x v="57"/>
    <x v="57"/>
    <s v="SNP"/>
    <x v="0"/>
    <x v="0"/>
    <n v="0"/>
    <s v="APPR"/>
    <x v="0"/>
    <m/>
    <s v="Regular"/>
    <x v="0"/>
    <m/>
    <s v="10553"/>
    <s v=" "/>
    <s v="Resolved"/>
    <n v="0.42"/>
    <n v="614"/>
    <n v="257.88"/>
    <n v="46268.655147939811"/>
    <s v="Severe need"/>
  </r>
  <r>
    <n v="1000003984"/>
    <s v="White Bear Lake ISD #624"/>
    <x v="57"/>
    <x v="57"/>
    <s v="SNP"/>
    <x v="0"/>
    <x v="0"/>
    <n v="0"/>
    <s v="APPR"/>
    <x v="1"/>
    <m/>
    <s v="Free"/>
    <x v="0"/>
    <m/>
    <s v="10555"/>
    <s v="004"/>
    <s v="Resolved"/>
    <n v="4.3099999999999996"/>
    <n v="683"/>
    <n v="2943.73"/>
    <n v="46268.655147939811"/>
    <s v="Less than 60 percent"/>
  </r>
  <r>
    <n v="1000003984"/>
    <s v="White Bear Lake ISD #624"/>
    <x v="57"/>
    <x v="57"/>
    <s v="SNP"/>
    <x v="0"/>
    <x v="0"/>
    <n v="0"/>
    <s v="APPR"/>
    <x v="1"/>
    <m/>
    <s v="HHFKA"/>
    <x v="0"/>
    <m/>
    <s v="10555"/>
    <s v="006"/>
    <s v="Resolved"/>
    <n v="0.09"/>
    <n v="1504"/>
    <n v="135.36000000000001"/>
    <n v="46268.655147939811"/>
    <s v="Qualified"/>
  </r>
  <r>
    <n v="1000003984"/>
    <s v="White Bear Lake ISD #624"/>
    <x v="57"/>
    <x v="57"/>
    <s v="SNP"/>
    <x v="0"/>
    <x v="0"/>
    <n v="0"/>
    <s v="APPR"/>
    <x v="1"/>
    <m/>
    <s v="Reduced"/>
    <x v="0"/>
    <m/>
    <s v="10555"/>
    <s v="004"/>
    <s v="Resolved"/>
    <n v="3.91"/>
    <n v="103"/>
    <n v="402.73"/>
    <n v="46268.655147939811"/>
    <s v="Less than 60 percent"/>
  </r>
  <r>
    <n v="1000003984"/>
    <s v="White Bear Lake ISD #624"/>
    <x v="57"/>
    <x v="57"/>
    <s v="SNP"/>
    <x v="0"/>
    <x v="0"/>
    <n v="0"/>
    <s v="APPR"/>
    <x v="1"/>
    <m/>
    <s v="Total"/>
    <x v="0"/>
    <m/>
    <s v="10555"/>
    <s v="002"/>
    <s v="Resolved"/>
    <n v="0.45"/>
    <n v="1504"/>
    <n v="676.8"/>
    <n v="46268.655147939811"/>
    <s v="Less than 60 percent"/>
  </r>
  <r>
    <n v="1000003984"/>
    <s v="White Bear Lake ISD #624"/>
    <x v="57"/>
    <x v="57"/>
    <s v="SNP"/>
    <x v="0"/>
    <x v="0"/>
    <n v="0"/>
    <s v="APPR"/>
    <x v="0"/>
    <m/>
    <s v="Reduced"/>
    <x v="1"/>
    <m/>
    <s v="S6210"/>
    <s v=" "/>
    <s v="Resolved"/>
    <n v="0.3"/>
    <n v="85"/>
    <n v="25.5"/>
    <n v="46268.655147939811"/>
    <s v="MN-FSM"/>
  </r>
  <r>
    <n v="1000003984"/>
    <s v="White Bear Lake ISD #624"/>
    <x v="57"/>
    <x v="57"/>
    <s v="SNP"/>
    <x v="0"/>
    <x v="0"/>
    <n v="0"/>
    <s v="APPR"/>
    <x v="0"/>
    <m/>
    <s v="Regular"/>
    <x v="1"/>
    <m/>
    <s v="S6210"/>
    <s v=" "/>
    <s v="Resolved"/>
    <n v="2.63"/>
    <n v="614"/>
    <n v="1614.82"/>
    <n v="46268.655147939811"/>
    <s v="MN-FSM Severe Need"/>
  </r>
  <r>
    <n v="1000003984"/>
    <s v="White Bear Lake ISD #624"/>
    <x v="57"/>
    <x v="57"/>
    <s v="SNP"/>
    <x v="0"/>
    <x v="0"/>
    <n v="0"/>
    <s v="APPR"/>
    <x v="1"/>
    <m/>
    <s v="Free"/>
    <x v="1"/>
    <m/>
    <s v="S6201"/>
    <s v=" "/>
    <s v="Resolved"/>
    <n v="0.125"/>
    <n v="683"/>
    <n v="85.37"/>
    <n v="46268.655147939811"/>
    <s v="MN-FSM"/>
  </r>
  <r>
    <n v="1000003984"/>
    <s v="White Bear Lake ISD #624"/>
    <x v="57"/>
    <x v="57"/>
    <s v="SNP"/>
    <x v="0"/>
    <x v="0"/>
    <n v="0"/>
    <s v="APPR"/>
    <x v="1"/>
    <m/>
    <s v="Reduced"/>
    <x v="1"/>
    <m/>
    <s v="S6201"/>
    <s v=" "/>
    <s v="Resolved"/>
    <n v="0.52500000000000002"/>
    <n v="103"/>
    <n v="54.07"/>
    <n v="46268.655147939811"/>
    <s v="MN-FSM"/>
  </r>
  <r>
    <n v="1000003984"/>
    <s v="White Bear Lake ISD #624"/>
    <x v="57"/>
    <x v="57"/>
    <s v="SNP"/>
    <x v="0"/>
    <x v="0"/>
    <n v="0"/>
    <s v="APPR"/>
    <x v="1"/>
    <m/>
    <s v="Regular"/>
    <x v="1"/>
    <m/>
    <s v="S6201"/>
    <s v=" "/>
    <s v="Resolved"/>
    <n v="4.4349999999999996"/>
    <n v="718"/>
    <n v="3184.33"/>
    <n v="46268.655147939811"/>
    <s v="MN-FSM"/>
  </r>
  <r>
    <n v="1000003984"/>
    <s v="White Bear Lake ISD #624"/>
    <x v="58"/>
    <x v="58"/>
    <s v="SNP"/>
    <x v="0"/>
    <x v="0"/>
    <n v="0"/>
    <s v="APPR"/>
    <x v="0"/>
    <m/>
    <s v="Free"/>
    <x v="0"/>
    <m/>
    <s v="10553"/>
    <s v=" "/>
    <s v="Resolved"/>
    <n v="2.54"/>
    <n v="237"/>
    <n v="601.98"/>
    <n v="46268.655147939811"/>
    <s v="Non-severe need"/>
  </r>
  <r>
    <n v="1000003984"/>
    <s v="White Bear Lake ISD #624"/>
    <x v="58"/>
    <x v="58"/>
    <s v="SNP"/>
    <x v="0"/>
    <x v="0"/>
    <n v="0"/>
    <s v="APPR"/>
    <x v="0"/>
    <m/>
    <s v="Reduced"/>
    <x v="0"/>
    <m/>
    <s v="10553"/>
    <s v=" "/>
    <s v="Resolved"/>
    <n v="2.2400000000000002"/>
    <n v="107"/>
    <n v="239.68"/>
    <n v="46268.655147939811"/>
    <s v="Non-severe need"/>
  </r>
  <r>
    <n v="1000003984"/>
    <s v="White Bear Lake ISD #624"/>
    <x v="58"/>
    <x v="58"/>
    <s v="SNP"/>
    <x v="0"/>
    <x v="0"/>
    <n v="0"/>
    <s v="APPR"/>
    <x v="0"/>
    <m/>
    <s v="Regular"/>
    <x v="0"/>
    <m/>
    <s v="10553"/>
    <s v=" "/>
    <s v="Resolved"/>
    <n v="0.42"/>
    <n v="404"/>
    <n v="169.68"/>
    <n v="46268.655147939811"/>
    <s v="Non-severe need"/>
  </r>
  <r>
    <n v="1000003984"/>
    <s v="White Bear Lake ISD #624"/>
    <x v="58"/>
    <x v="58"/>
    <s v="SNP"/>
    <x v="0"/>
    <x v="0"/>
    <n v="0"/>
    <s v="APPR"/>
    <x v="1"/>
    <m/>
    <s v="Free"/>
    <x v="0"/>
    <m/>
    <s v="10555"/>
    <s v="004"/>
    <s v="Resolved"/>
    <n v="4.3099999999999996"/>
    <n v="263"/>
    <n v="1133.53"/>
    <n v="46268.655147939811"/>
    <s v="Less than 60 percent"/>
  </r>
  <r>
    <n v="1000003984"/>
    <s v="White Bear Lake ISD #624"/>
    <x v="58"/>
    <x v="58"/>
    <s v="SNP"/>
    <x v="0"/>
    <x v="0"/>
    <n v="0"/>
    <s v="APPR"/>
    <x v="1"/>
    <m/>
    <s v="HHFKA"/>
    <x v="0"/>
    <m/>
    <s v="10555"/>
    <s v="006"/>
    <s v="Resolved"/>
    <n v="0.09"/>
    <n v="813"/>
    <n v="73.17"/>
    <n v="46268.655147939811"/>
    <s v="Qualified"/>
  </r>
  <r>
    <n v="1000003984"/>
    <s v="White Bear Lake ISD #624"/>
    <x v="58"/>
    <x v="58"/>
    <s v="SNP"/>
    <x v="0"/>
    <x v="0"/>
    <n v="0"/>
    <s v="APPR"/>
    <x v="1"/>
    <m/>
    <s v="Reduced"/>
    <x v="0"/>
    <m/>
    <s v="10555"/>
    <s v="004"/>
    <s v="Resolved"/>
    <n v="3.91"/>
    <n v="134"/>
    <n v="523.94000000000005"/>
    <n v="46268.655147939811"/>
    <s v="Less than 60 percent"/>
  </r>
  <r>
    <n v="1000003984"/>
    <s v="White Bear Lake ISD #624"/>
    <x v="58"/>
    <x v="58"/>
    <s v="SNP"/>
    <x v="0"/>
    <x v="0"/>
    <n v="0"/>
    <s v="APPR"/>
    <x v="1"/>
    <m/>
    <s v="Total"/>
    <x v="0"/>
    <m/>
    <s v="10555"/>
    <s v="002"/>
    <s v="Resolved"/>
    <n v="0.45"/>
    <n v="813"/>
    <n v="365.85"/>
    <n v="46268.655147939811"/>
    <s v="Less than 60 percent"/>
  </r>
  <r>
    <n v="1000003984"/>
    <s v="White Bear Lake ISD #624"/>
    <x v="58"/>
    <x v="58"/>
    <s v="SNP"/>
    <x v="0"/>
    <x v="0"/>
    <n v="0"/>
    <s v="APPR"/>
    <x v="0"/>
    <m/>
    <s v="Reduced"/>
    <x v="1"/>
    <m/>
    <s v="S6210"/>
    <s v=" "/>
    <s v="Resolved"/>
    <n v="0.3"/>
    <n v="107"/>
    <n v="32.1"/>
    <n v="46268.655147939811"/>
    <s v="MN-FSM"/>
  </r>
  <r>
    <n v="1000003984"/>
    <s v="White Bear Lake ISD #624"/>
    <x v="58"/>
    <x v="58"/>
    <s v="SNP"/>
    <x v="0"/>
    <x v="0"/>
    <n v="0"/>
    <s v="APPR"/>
    <x v="0"/>
    <m/>
    <s v="Regular"/>
    <x v="1"/>
    <m/>
    <s v="S6210"/>
    <s v=" "/>
    <s v="Resolved"/>
    <n v="2.12"/>
    <n v="404"/>
    <n v="856.48"/>
    <n v="46268.655147939811"/>
    <s v="MN-FSM Non-severe Need"/>
  </r>
  <r>
    <n v="1000003984"/>
    <s v="White Bear Lake ISD #624"/>
    <x v="58"/>
    <x v="58"/>
    <s v="SNP"/>
    <x v="0"/>
    <x v="0"/>
    <n v="0"/>
    <s v="APPR"/>
    <x v="1"/>
    <m/>
    <s v="Free"/>
    <x v="1"/>
    <m/>
    <s v="S6201"/>
    <s v=" "/>
    <s v="Resolved"/>
    <n v="0.125"/>
    <n v="263"/>
    <n v="32.869999999999997"/>
    <n v="46268.655147939811"/>
    <s v="MN-FSM"/>
  </r>
  <r>
    <n v="1000003984"/>
    <s v="White Bear Lake ISD #624"/>
    <x v="58"/>
    <x v="58"/>
    <s v="SNP"/>
    <x v="0"/>
    <x v="0"/>
    <n v="0"/>
    <s v="APPR"/>
    <x v="1"/>
    <m/>
    <s v="Reduced"/>
    <x v="1"/>
    <m/>
    <s v="S6201"/>
    <s v=" "/>
    <s v="Resolved"/>
    <n v="0.52500000000000002"/>
    <n v="134"/>
    <n v="70.349999999999994"/>
    <n v="46268.655147939811"/>
    <s v="MN-FSM"/>
  </r>
  <r>
    <n v="1000003984"/>
    <s v="White Bear Lake ISD #624"/>
    <x v="58"/>
    <x v="58"/>
    <s v="SNP"/>
    <x v="0"/>
    <x v="0"/>
    <n v="0"/>
    <s v="APPR"/>
    <x v="1"/>
    <m/>
    <s v="Regular"/>
    <x v="1"/>
    <m/>
    <s v="S6201"/>
    <s v=" "/>
    <s v="Resolved"/>
    <n v="4.4349999999999996"/>
    <n v="416"/>
    <n v="1844.96"/>
    <n v="46268.655147939811"/>
    <s v="MN-FSM"/>
  </r>
  <r>
    <n v="1000003984"/>
    <s v="White Bear Lake ISD #624"/>
    <x v="59"/>
    <x v="59"/>
    <s v="SNP"/>
    <x v="0"/>
    <x v="0"/>
    <n v="0"/>
    <s v="APPR"/>
    <x v="0"/>
    <m/>
    <s v="Free"/>
    <x v="0"/>
    <m/>
    <s v="10553"/>
    <s v=" "/>
    <s v="Resolved"/>
    <n v="2.54"/>
    <n v="195"/>
    <n v="495.3"/>
    <n v="46268.655147939811"/>
    <s v="Non-severe need"/>
  </r>
  <r>
    <n v="1000003984"/>
    <s v="White Bear Lake ISD #624"/>
    <x v="59"/>
    <x v="59"/>
    <s v="SNP"/>
    <x v="0"/>
    <x v="0"/>
    <n v="0"/>
    <s v="APPR"/>
    <x v="0"/>
    <m/>
    <s v="Reduced"/>
    <x v="0"/>
    <m/>
    <s v="10553"/>
    <s v=" "/>
    <s v="Resolved"/>
    <n v="2.2400000000000002"/>
    <n v="146"/>
    <n v="327.04000000000002"/>
    <n v="46268.655147939811"/>
    <s v="Non-severe need"/>
  </r>
  <r>
    <n v="1000003984"/>
    <s v="White Bear Lake ISD #624"/>
    <x v="59"/>
    <x v="59"/>
    <s v="SNP"/>
    <x v="0"/>
    <x v="0"/>
    <n v="0"/>
    <s v="APPR"/>
    <x v="0"/>
    <m/>
    <s v="Regular"/>
    <x v="0"/>
    <m/>
    <s v="10553"/>
    <s v=" "/>
    <s v="Resolved"/>
    <n v="0.42"/>
    <n v="556"/>
    <n v="233.52"/>
    <n v="46268.655147939811"/>
    <s v="Non-severe need"/>
  </r>
  <r>
    <n v="1000003984"/>
    <s v="White Bear Lake ISD #624"/>
    <x v="59"/>
    <x v="59"/>
    <s v="SNP"/>
    <x v="0"/>
    <x v="0"/>
    <n v="0"/>
    <s v="APPR"/>
    <x v="1"/>
    <m/>
    <s v="Free"/>
    <x v="0"/>
    <m/>
    <s v="10555"/>
    <s v="004"/>
    <s v="Resolved"/>
    <n v="4.3099999999999996"/>
    <n v="278"/>
    <n v="1198.18"/>
    <n v="46268.655147939811"/>
    <s v="Less than 60 percent"/>
  </r>
  <r>
    <n v="1000003984"/>
    <s v="White Bear Lake ISD #624"/>
    <x v="59"/>
    <x v="59"/>
    <s v="SNP"/>
    <x v="0"/>
    <x v="0"/>
    <n v="0"/>
    <s v="APPR"/>
    <x v="1"/>
    <m/>
    <s v="HHFKA"/>
    <x v="0"/>
    <m/>
    <s v="10555"/>
    <s v="006"/>
    <s v="Resolved"/>
    <n v="0.09"/>
    <n v="1147"/>
    <n v="103.23"/>
    <n v="46268.655147939811"/>
    <s v="Qualified"/>
  </r>
  <r>
    <n v="1000003984"/>
    <s v="White Bear Lake ISD #624"/>
    <x v="59"/>
    <x v="59"/>
    <s v="SNP"/>
    <x v="0"/>
    <x v="0"/>
    <n v="0"/>
    <s v="APPR"/>
    <x v="1"/>
    <m/>
    <s v="Reduced"/>
    <x v="0"/>
    <m/>
    <s v="10555"/>
    <s v="004"/>
    <s v="Resolved"/>
    <n v="3.91"/>
    <n v="142"/>
    <n v="555.22"/>
    <n v="46268.655147939811"/>
    <s v="Less than 60 percent"/>
  </r>
  <r>
    <n v="1000003984"/>
    <s v="White Bear Lake ISD #624"/>
    <x v="59"/>
    <x v="59"/>
    <s v="SNP"/>
    <x v="0"/>
    <x v="0"/>
    <n v="0"/>
    <s v="APPR"/>
    <x v="1"/>
    <m/>
    <s v="Total"/>
    <x v="0"/>
    <m/>
    <s v="10555"/>
    <s v="002"/>
    <s v="Resolved"/>
    <n v="0.45"/>
    <n v="1147"/>
    <n v="516.15"/>
    <n v="46268.655147939811"/>
    <s v="Less than 60 percent"/>
  </r>
  <r>
    <n v="1000003984"/>
    <s v="White Bear Lake ISD #624"/>
    <x v="59"/>
    <x v="59"/>
    <s v="SNP"/>
    <x v="0"/>
    <x v="0"/>
    <n v="0"/>
    <s v="APPR"/>
    <x v="0"/>
    <m/>
    <s v="Reduced"/>
    <x v="1"/>
    <m/>
    <s v="S6210"/>
    <s v=" "/>
    <s v="Resolved"/>
    <n v="0.3"/>
    <n v="146"/>
    <n v="43.8"/>
    <n v="46268.655147939811"/>
    <s v="MN-FSM"/>
  </r>
  <r>
    <n v="1000003984"/>
    <s v="White Bear Lake ISD #624"/>
    <x v="59"/>
    <x v="59"/>
    <s v="SNP"/>
    <x v="0"/>
    <x v="0"/>
    <n v="0"/>
    <s v="APPR"/>
    <x v="0"/>
    <m/>
    <s v="Regular"/>
    <x v="1"/>
    <m/>
    <s v="S6210"/>
    <s v=" "/>
    <s v="Resolved"/>
    <n v="2.12"/>
    <n v="556"/>
    <n v="1178.72"/>
    <n v="46268.655147939811"/>
    <s v="MN-FSM Non-severe Need"/>
  </r>
  <r>
    <n v="1000003984"/>
    <s v="White Bear Lake ISD #624"/>
    <x v="59"/>
    <x v="59"/>
    <s v="SNP"/>
    <x v="0"/>
    <x v="0"/>
    <n v="0"/>
    <s v="APPR"/>
    <x v="1"/>
    <m/>
    <s v="Free"/>
    <x v="1"/>
    <m/>
    <s v="S6201"/>
    <s v=" "/>
    <s v="Resolved"/>
    <n v="0.125"/>
    <n v="278"/>
    <n v="34.75"/>
    <n v="46268.655147939811"/>
    <s v="MN-FSM"/>
  </r>
  <r>
    <n v="1000003984"/>
    <s v="White Bear Lake ISD #624"/>
    <x v="59"/>
    <x v="59"/>
    <s v="SNP"/>
    <x v="0"/>
    <x v="0"/>
    <n v="0"/>
    <s v="APPR"/>
    <x v="1"/>
    <m/>
    <s v="Reduced"/>
    <x v="1"/>
    <m/>
    <s v="S6201"/>
    <s v=" "/>
    <s v="Resolved"/>
    <n v="0.52500000000000002"/>
    <n v="142"/>
    <n v="74.55"/>
    <n v="46268.655147939811"/>
    <s v="MN-FSM"/>
  </r>
  <r>
    <n v="1000003984"/>
    <s v="White Bear Lake ISD #624"/>
    <x v="59"/>
    <x v="59"/>
    <s v="SNP"/>
    <x v="0"/>
    <x v="0"/>
    <n v="0"/>
    <s v="APPR"/>
    <x v="1"/>
    <m/>
    <s v="Regular"/>
    <x v="1"/>
    <m/>
    <s v="S6201"/>
    <s v=" "/>
    <s v="Resolved"/>
    <n v="4.4349999999999996"/>
    <n v="727"/>
    <n v="3224.24"/>
    <n v="46268.655147939811"/>
    <s v="MN-FS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">
  <r>
    <n v="2000010403"/>
    <s v="AIM Academy of Science &amp; Technology"/>
    <n v="9000019333"/>
    <x v="0"/>
    <s v="SNP"/>
    <x v="0"/>
    <x v="0"/>
    <n v="0"/>
    <s v="APPR"/>
    <x v="0"/>
    <x v="0"/>
    <x v="0"/>
    <x v="0"/>
    <m/>
    <x v="0"/>
    <x v="0"/>
    <s v="Resolved"/>
    <n v="3.05"/>
    <n v="228"/>
    <n v="695.4"/>
    <d v="2026-09-03T15:43:25"/>
    <x v="0"/>
  </r>
  <r>
    <n v="2000010403"/>
    <s v="AIM Academy of Science &amp; Technology"/>
    <n v="9000019333"/>
    <x v="0"/>
    <s v="SNP"/>
    <x v="0"/>
    <x v="0"/>
    <n v="0"/>
    <s v="APPR"/>
    <x v="1"/>
    <x v="0"/>
    <x v="0"/>
    <x v="0"/>
    <m/>
    <x v="1"/>
    <x v="1"/>
    <s v="Resolved"/>
    <n v="4.3099999999999996"/>
    <n v="263"/>
    <n v="1133.53"/>
    <n v="46268.655147939811"/>
    <x v="1"/>
  </r>
  <r>
    <n v="2000010403"/>
    <s v="AIM Academy of Science &amp; Technology"/>
    <n v="9000019333"/>
    <x v="0"/>
    <s v="SNP"/>
    <x v="0"/>
    <x v="0"/>
    <n v="0"/>
    <s v="APPR"/>
    <x v="1"/>
    <x v="0"/>
    <x v="1"/>
    <x v="0"/>
    <m/>
    <x v="1"/>
    <x v="2"/>
    <s v="Resolved"/>
    <n v="0.09"/>
    <n v="263"/>
    <n v="23.67"/>
    <n v="46268.655147939811"/>
    <x v="2"/>
  </r>
  <r>
    <n v="2000010403"/>
    <s v="AIM Academy of Science &amp; Technology"/>
    <n v="9000019333"/>
    <x v="0"/>
    <s v="SNP"/>
    <x v="0"/>
    <x v="0"/>
    <n v="0"/>
    <s v="APPR"/>
    <x v="1"/>
    <x v="0"/>
    <x v="2"/>
    <x v="0"/>
    <m/>
    <x v="1"/>
    <x v="3"/>
    <s v="Resolved"/>
    <n v="0.47"/>
    <n v="263"/>
    <n v="123.61"/>
    <n v="46268.655147939811"/>
    <x v="1"/>
  </r>
  <r>
    <n v="2000010403"/>
    <s v="AIM Academy of Science &amp; Technology"/>
    <n v="9000019333"/>
    <x v="0"/>
    <s v="SNP"/>
    <x v="0"/>
    <x v="0"/>
    <n v="0"/>
    <s v="APPR"/>
    <x v="1"/>
    <x v="0"/>
    <x v="0"/>
    <x v="1"/>
    <m/>
    <x v="2"/>
    <x v="0"/>
    <s v="Resolved"/>
    <n v="0.125"/>
    <n v="263"/>
    <n v="32.869999999999997"/>
    <n v="46268.655147939811"/>
    <x v="3"/>
  </r>
  <r>
    <n v="1000004388"/>
    <s v="Arrowhead Juvenile Detention Center"/>
    <n v="1000003253"/>
    <x v="1"/>
    <s v="SNP"/>
    <x v="0"/>
    <x v="0"/>
    <n v="0"/>
    <s v="APPR"/>
    <x v="0"/>
    <x v="0"/>
    <x v="0"/>
    <x v="0"/>
    <m/>
    <x v="0"/>
    <x v="0"/>
    <s v="Resolved"/>
    <n v="3.05"/>
    <n v="691"/>
    <n v="2107.5500000000002"/>
    <n v="46268.655147939811"/>
    <x v="0"/>
  </r>
  <r>
    <n v="1000004388"/>
    <s v="Arrowhead Juvenile Detention Center"/>
    <n v="1000003253"/>
    <x v="1"/>
    <s v="SNP"/>
    <x v="0"/>
    <x v="0"/>
    <n v="0"/>
    <s v="APPR"/>
    <x v="1"/>
    <x v="0"/>
    <x v="0"/>
    <x v="0"/>
    <m/>
    <x v="1"/>
    <x v="1"/>
    <s v="Resolved"/>
    <n v="4.3099999999999996"/>
    <n v="687"/>
    <n v="2960.97"/>
    <n v="46268.655147939811"/>
    <x v="1"/>
  </r>
  <r>
    <n v="1000004388"/>
    <s v="Arrowhead Juvenile Detention Center"/>
    <n v="1000003253"/>
    <x v="1"/>
    <s v="SNP"/>
    <x v="0"/>
    <x v="0"/>
    <n v="0"/>
    <s v="APPR"/>
    <x v="1"/>
    <x v="0"/>
    <x v="1"/>
    <x v="0"/>
    <m/>
    <x v="1"/>
    <x v="2"/>
    <s v="Resolved"/>
    <n v="0.09"/>
    <n v="687"/>
    <n v="61.83"/>
    <n v="46268.655147939811"/>
    <x v="2"/>
  </r>
  <r>
    <n v="1000004388"/>
    <s v="Arrowhead Juvenile Detention Center"/>
    <n v="1000003253"/>
    <x v="1"/>
    <s v="SNP"/>
    <x v="0"/>
    <x v="0"/>
    <n v="0"/>
    <s v="APPR"/>
    <x v="1"/>
    <x v="0"/>
    <x v="2"/>
    <x v="0"/>
    <m/>
    <x v="1"/>
    <x v="3"/>
    <s v="Resolved"/>
    <n v="0.47"/>
    <n v="687"/>
    <n v="322.89"/>
    <n v="46268.655147939811"/>
    <x v="1"/>
  </r>
  <r>
    <n v="1000004388"/>
    <s v="Arrowhead Juvenile Detention Center"/>
    <n v="1000003253"/>
    <x v="1"/>
    <s v="SNP"/>
    <x v="0"/>
    <x v="0"/>
    <n v="0"/>
    <s v="APPR"/>
    <x v="1"/>
    <x v="0"/>
    <x v="0"/>
    <x v="1"/>
    <m/>
    <x v="2"/>
    <x v="0"/>
    <s v="Resolved"/>
    <n v="0.125"/>
    <n v="687"/>
    <n v="85.87"/>
    <n v="46268.655147939811"/>
    <x v="3"/>
  </r>
  <r>
    <n v="1000004034"/>
    <s v="Browerville ISD #787"/>
    <n v="1000002360"/>
    <x v="2"/>
    <s v="SNP"/>
    <x v="0"/>
    <x v="0"/>
    <n v="0"/>
    <s v="APPR"/>
    <x v="2"/>
    <x v="0"/>
    <x v="0"/>
    <x v="0"/>
    <m/>
    <x v="1"/>
    <x v="4"/>
    <s v="Resolved"/>
    <n v="1.3"/>
    <n v="401"/>
    <n v="521.29999999999995"/>
    <n v="46268.655147939811"/>
    <x v="4"/>
  </r>
  <r>
    <n v="1000004034"/>
    <s v="Browerville ISD #787"/>
    <n v="1000002360"/>
    <x v="2"/>
    <s v="SNP"/>
    <x v="0"/>
    <x v="0"/>
    <n v="0"/>
    <s v="APPR"/>
    <x v="0"/>
    <x v="0"/>
    <x v="0"/>
    <x v="0"/>
    <m/>
    <x v="0"/>
    <x v="0"/>
    <s v="Resolved"/>
    <n v="3.05"/>
    <n v="121"/>
    <n v="369.05"/>
    <n v="46268.655147939811"/>
    <x v="0"/>
  </r>
  <r>
    <n v="1000004034"/>
    <s v="Browerville ISD #787"/>
    <n v="1000002360"/>
    <x v="2"/>
    <s v="SNP"/>
    <x v="0"/>
    <x v="0"/>
    <n v="0"/>
    <s v="APPR"/>
    <x v="0"/>
    <x v="0"/>
    <x v="3"/>
    <x v="0"/>
    <m/>
    <x v="0"/>
    <x v="0"/>
    <s v="Resolved"/>
    <n v="2.75"/>
    <n v="36"/>
    <n v="99"/>
    <n v="46268.655147939811"/>
    <x v="0"/>
  </r>
  <r>
    <n v="1000004034"/>
    <s v="Browerville ISD #787"/>
    <n v="1000002360"/>
    <x v="2"/>
    <s v="SNP"/>
    <x v="0"/>
    <x v="0"/>
    <n v="0"/>
    <s v="APPR"/>
    <x v="0"/>
    <x v="0"/>
    <x v="4"/>
    <x v="0"/>
    <m/>
    <x v="0"/>
    <x v="0"/>
    <s v="Resolved"/>
    <n v="0.42"/>
    <n v="216"/>
    <n v="90.72"/>
    <n v="46268.655147939811"/>
    <x v="0"/>
  </r>
  <r>
    <n v="1000004034"/>
    <s v="Browerville ISD #787"/>
    <n v="1000002360"/>
    <x v="2"/>
    <s v="SNP"/>
    <x v="0"/>
    <x v="0"/>
    <n v="0"/>
    <s v="APPR"/>
    <x v="1"/>
    <x v="0"/>
    <x v="0"/>
    <x v="0"/>
    <m/>
    <x v="1"/>
    <x v="1"/>
    <s v="Resolved"/>
    <n v="4.3099999999999996"/>
    <n v="136"/>
    <n v="586.16"/>
    <n v="46268.655147939811"/>
    <x v="5"/>
  </r>
  <r>
    <n v="1000004034"/>
    <s v="Browerville ISD #787"/>
    <n v="1000002360"/>
    <x v="2"/>
    <s v="SNP"/>
    <x v="0"/>
    <x v="0"/>
    <n v="0"/>
    <s v="APPR"/>
    <x v="1"/>
    <x v="0"/>
    <x v="1"/>
    <x v="0"/>
    <m/>
    <x v="1"/>
    <x v="2"/>
    <s v="Resolved"/>
    <n v="0.09"/>
    <n v="401"/>
    <n v="36.090000000000003"/>
    <n v="46268.655147939811"/>
    <x v="2"/>
  </r>
  <r>
    <n v="1000004034"/>
    <s v="Browerville ISD #787"/>
    <n v="1000002360"/>
    <x v="2"/>
    <s v="SNP"/>
    <x v="0"/>
    <x v="0"/>
    <n v="0"/>
    <s v="APPR"/>
    <x v="1"/>
    <x v="0"/>
    <x v="3"/>
    <x v="0"/>
    <m/>
    <x v="1"/>
    <x v="1"/>
    <s v="Resolved"/>
    <n v="3.91"/>
    <n v="36"/>
    <n v="140.76"/>
    <n v="46268.655147939811"/>
    <x v="5"/>
  </r>
  <r>
    <n v="1000004034"/>
    <s v="Browerville ISD #787"/>
    <n v="1000002360"/>
    <x v="2"/>
    <s v="SNP"/>
    <x v="0"/>
    <x v="0"/>
    <n v="0"/>
    <s v="APPR"/>
    <x v="1"/>
    <x v="0"/>
    <x v="2"/>
    <x v="0"/>
    <m/>
    <x v="1"/>
    <x v="3"/>
    <s v="Resolved"/>
    <n v="0.45"/>
    <n v="401"/>
    <n v="180.45"/>
    <n v="46268.655147939811"/>
    <x v="5"/>
  </r>
  <r>
    <n v="1000004034"/>
    <s v="Browerville ISD #787"/>
    <n v="1000002360"/>
    <x v="2"/>
    <s v="SNP"/>
    <x v="0"/>
    <x v="0"/>
    <n v="0"/>
    <s v="APPR"/>
    <x v="0"/>
    <x v="0"/>
    <x v="3"/>
    <x v="1"/>
    <m/>
    <x v="3"/>
    <x v="0"/>
    <s v="Resolved"/>
    <n v="0.3"/>
    <n v="36"/>
    <n v="10.8"/>
    <n v="46268.655147939811"/>
    <x v="3"/>
  </r>
  <r>
    <n v="1000004034"/>
    <s v="Browerville ISD #787"/>
    <n v="1000002360"/>
    <x v="2"/>
    <s v="SNP"/>
    <x v="0"/>
    <x v="0"/>
    <n v="0"/>
    <s v="APPR"/>
    <x v="0"/>
    <x v="0"/>
    <x v="4"/>
    <x v="1"/>
    <m/>
    <x v="3"/>
    <x v="0"/>
    <s v="Resolved"/>
    <n v="2.63"/>
    <n v="216"/>
    <n v="568.08000000000004"/>
    <n v="46268.655147939811"/>
    <x v="6"/>
  </r>
  <r>
    <n v="1000004034"/>
    <s v="Browerville ISD #787"/>
    <n v="1000002360"/>
    <x v="2"/>
    <s v="SNP"/>
    <x v="0"/>
    <x v="0"/>
    <n v="0"/>
    <s v="APPR"/>
    <x v="1"/>
    <x v="0"/>
    <x v="0"/>
    <x v="1"/>
    <m/>
    <x v="2"/>
    <x v="0"/>
    <s v="Resolved"/>
    <n v="0.125"/>
    <n v="136"/>
    <n v="17"/>
    <n v="46268.655147939811"/>
    <x v="3"/>
  </r>
  <r>
    <n v="1000004034"/>
    <s v="Browerville ISD #787"/>
    <n v="1000002360"/>
    <x v="2"/>
    <s v="SNP"/>
    <x v="0"/>
    <x v="0"/>
    <n v="0"/>
    <s v="APPR"/>
    <x v="1"/>
    <x v="0"/>
    <x v="3"/>
    <x v="1"/>
    <m/>
    <x v="2"/>
    <x v="0"/>
    <s v="Resolved"/>
    <n v="0.52500000000000002"/>
    <n v="36"/>
    <n v="18.899999999999999"/>
    <n v="46268.655147939811"/>
    <x v="3"/>
  </r>
  <r>
    <n v="1000004034"/>
    <s v="Browerville ISD #787"/>
    <n v="1000002360"/>
    <x v="2"/>
    <s v="SNP"/>
    <x v="0"/>
    <x v="0"/>
    <n v="0"/>
    <s v="APPR"/>
    <x v="1"/>
    <x v="0"/>
    <x v="4"/>
    <x v="1"/>
    <m/>
    <x v="2"/>
    <x v="0"/>
    <s v="Resolved"/>
    <n v="4.4349999999999996"/>
    <n v="229"/>
    <n v="1015.61"/>
    <n v="46268.655147939811"/>
    <x v="3"/>
  </r>
  <r>
    <n v="1000004034"/>
    <s v="Browerville ISD #787"/>
    <n v="1000005599"/>
    <x v="3"/>
    <s v="SNP"/>
    <x v="0"/>
    <x v="0"/>
    <n v="0"/>
    <s v="APPR"/>
    <x v="2"/>
    <x v="0"/>
    <x v="0"/>
    <x v="0"/>
    <m/>
    <x v="1"/>
    <x v="4"/>
    <s v="Resolved"/>
    <n v="1.3"/>
    <n v="46"/>
    <n v="59.8"/>
    <n v="46268.655147939811"/>
    <x v="4"/>
  </r>
  <r>
    <n v="1000004034"/>
    <s v="Browerville ISD #787"/>
    <n v="1000005599"/>
    <x v="3"/>
    <s v="SNP"/>
    <x v="0"/>
    <x v="0"/>
    <n v="0"/>
    <s v="APPR"/>
    <x v="0"/>
    <x v="0"/>
    <x v="0"/>
    <x v="0"/>
    <m/>
    <x v="0"/>
    <x v="0"/>
    <s v="Resolved"/>
    <n v="3.05"/>
    <n v="20"/>
    <n v="61"/>
    <n v="46268.655147939811"/>
    <x v="0"/>
  </r>
  <r>
    <n v="1000004034"/>
    <s v="Browerville ISD #787"/>
    <n v="1000005599"/>
    <x v="3"/>
    <s v="SNP"/>
    <x v="0"/>
    <x v="0"/>
    <n v="0"/>
    <s v="APPR"/>
    <x v="0"/>
    <x v="0"/>
    <x v="3"/>
    <x v="0"/>
    <m/>
    <x v="0"/>
    <x v="0"/>
    <s v="Resolved"/>
    <n v="2.75"/>
    <n v="4"/>
    <n v="11"/>
    <n v="46268.655147939811"/>
    <x v="0"/>
  </r>
  <r>
    <n v="1000004034"/>
    <s v="Browerville ISD #787"/>
    <n v="1000005599"/>
    <x v="3"/>
    <s v="SNP"/>
    <x v="0"/>
    <x v="0"/>
    <n v="0"/>
    <s v="APPR"/>
    <x v="0"/>
    <x v="0"/>
    <x v="4"/>
    <x v="0"/>
    <m/>
    <x v="0"/>
    <x v="0"/>
    <s v="Resolved"/>
    <n v="0.42"/>
    <n v="22"/>
    <n v="9.24"/>
    <n v="46268.655147939811"/>
    <x v="0"/>
  </r>
  <r>
    <n v="1000004034"/>
    <s v="Browerville ISD #787"/>
    <n v="1000005599"/>
    <x v="3"/>
    <s v="SNP"/>
    <x v="0"/>
    <x v="0"/>
    <n v="0"/>
    <s v="APPR"/>
    <x v="1"/>
    <x v="0"/>
    <x v="0"/>
    <x v="0"/>
    <m/>
    <x v="1"/>
    <x v="1"/>
    <s v="Resolved"/>
    <n v="4.3099999999999996"/>
    <n v="20"/>
    <n v="86.2"/>
    <n v="46268.655147939811"/>
    <x v="5"/>
  </r>
  <r>
    <n v="1000004034"/>
    <s v="Browerville ISD #787"/>
    <n v="1000005599"/>
    <x v="3"/>
    <s v="SNP"/>
    <x v="0"/>
    <x v="0"/>
    <n v="0"/>
    <s v="APPR"/>
    <x v="1"/>
    <x v="0"/>
    <x v="1"/>
    <x v="0"/>
    <m/>
    <x v="1"/>
    <x v="2"/>
    <s v="Resolved"/>
    <n v="0.09"/>
    <n v="46"/>
    <n v="4.1399999999999997"/>
    <n v="46268.655147939811"/>
    <x v="2"/>
  </r>
  <r>
    <n v="1000004034"/>
    <s v="Browerville ISD #787"/>
    <n v="1000005599"/>
    <x v="3"/>
    <s v="SNP"/>
    <x v="0"/>
    <x v="0"/>
    <n v="0"/>
    <s v="APPR"/>
    <x v="1"/>
    <x v="0"/>
    <x v="3"/>
    <x v="0"/>
    <m/>
    <x v="1"/>
    <x v="1"/>
    <s v="Resolved"/>
    <n v="3.91"/>
    <n v="4"/>
    <n v="15.64"/>
    <n v="46268.655147939811"/>
    <x v="5"/>
  </r>
  <r>
    <n v="1000004034"/>
    <s v="Browerville ISD #787"/>
    <n v="1000005599"/>
    <x v="3"/>
    <s v="SNP"/>
    <x v="0"/>
    <x v="0"/>
    <n v="0"/>
    <s v="APPR"/>
    <x v="1"/>
    <x v="0"/>
    <x v="2"/>
    <x v="0"/>
    <m/>
    <x v="1"/>
    <x v="3"/>
    <s v="Resolved"/>
    <n v="0.45"/>
    <n v="46"/>
    <n v="20.7"/>
    <n v="46268.655147939811"/>
    <x v="5"/>
  </r>
  <r>
    <n v="1000004034"/>
    <s v="Browerville ISD #787"/>
    <n v="1000005599"/>
    <x v="3"/>
    <s v="SNP"/>
    <x v="0"/>
    <x v="0"/>
    <n v="0"/>
    <s v="APPR"/>
    <x v="0"/>
    <x v="0"/>
    <x v="3"/>
    <x v="1"/>
    <m/>
    <x v="3"/>
    <x v="0"/>
    <s v="Resolved"/>
    <n v="0.3"/>
    <n v="4"/>
    <n v="1.2"/>
    <n v="46268.655147939811"/>
    <x v="3"/>
  </r>
  <r>
    <n v="1000004034"/>
    <s v="Browerville ISD #787"/>
    <n v="1000005599"/>
    <x v="3"/>
    <s v="SNP"/>
    <x v="0"/>
    <x v="0"/>
    <n v="0"/>
    <s v="APPR"/>
    <x v="0"/>
    <x v="0"/>
    <x v="4"/>
    <x v="1"/>
    <m/>
    <x v="3"/>
    <x v="0"/>
    <s v="Resolved"/>
    <n v="2.63"/>
    <n v="22"/>
    <n v="57.86"/>
    <n v="46268.655147939811"/>
    <x v="6"/>
  </r>
  <r>
    <n v="1000004034"/>
    <s v="Browerville ISD #787"/>
    <n v="1000005599"/>
    <x v="3"/>
    <s v="SNP"/>
    <x v="0"/>
    <x v="0"/>
    <n v="0"/>
    <s v="APPR"/>
    <x v="1"/>
    <x v="0"/>
    <x v="0"/>
    <x v="1"/>
    <m/>
    <x v="2"/>
    <x v="0"/>
    <s v="Resolved"/>
    <n v="0.125"/>
    <n v="20"/>
    <n v="2.5"/>
    <n v="46268.655147939811"/>
    <x v="3"/>
  </r>
  <r>
    <n v="1000004034"/>
    <s v="Browerville ISD #787"/>
    <n v="1000005599"/>
    <x v="3"/>
    <s v="SNP"/>
    <x v="0"/>
    <x v="0"/>
    <n v="0"/>
    <s v="APPR"/>
    <x v="1"/>
    <x v="0"/>
    <x v="3"/>
    <x v="1"/>
    <m/>
    <x v="2"/>
    <x v="0"/>
    <s v="Resolved"/>
    <n v="0.52500000000000002"/>
    <n v="4"/>
    <n v="2.1"/>
    <n v="46268.655147939811"/>
    <x v="3"/>
  </r>
  <r>
    <n v="1000004034"/>
    <s v="Browerville ISD #787"/>
    <n v="1000005599"/>
    <x v="3"/>
    <s v="SNP"/>
    <x v="0"/>
    <x v="0"/>
    <n v="0"/>
    <s v="APPR"/>
    <x v="1"/>
    <x v="0"/>
    <x v="4"/>
    <x v="1"/>
    <m/>
    <x v="2"/>
    <x v="0"/>
    <s v="Resolved"/>
    <n v="4.4349999999999996"/>
    <n v="22"/>
    <n v="97.57"/>
    <n v="46268.655147939811"/>
    <x v="3"/>
  </r>
  <r>
    <n v="1000003808"/>
    <s v="Centennial ISD #12"/>
    <n v="1000005502"/>
    <x v="4"/>
    <s v="SNP"/>
    <x v="0"/>
    <x v="0"/>
    <n v="0"/>
    <s v="APPR"/>
    <x v="0"/>
    <x v="0"/>
    <x v="0"/>
    <x v="0"/>
    <m/>
    <x v="0"/>
    <x v="0"/>
    <s v="Resolved"/>
    <n v="2.54"/>
    <n v="392"/>
    <n v="995.68"/>
    <n v="46268.655147939811"/>
    <x v="7"/>
  </r>
  <r>
    <n v="1000003808"/>
    <s v="Centennial ISD #12"/>
    <n v="1000005502"/>
    <x v="4"/>
    <s v="SNP"/>
    <x v="0"/>
    <x v="0"/>
    <n v="0"/>
    <s v="APPR"/>
    <x v="0"/>
    <x v="0"/>
    <x v="3"/>
    <x v="0"/>
    <m/>
    <x v="0"/>
    <x v="0"/>
    <s v="Resolved"/>
    <n v="2.2400000000000002"/>
    <n v="161"/>
    <n v="360.64"/>
    <n v="46268.655147939811"/>
    <x v="7"/>
  </r>
  <r>
    <n v="1000003808"/>
    <s v="Centennial ISD #12"/>
    <n v="1000005502"/>
    <x v="4"/>
    <s v="SNP"/>
    <x v="0"/>
    <x v="0"/>
    <n v="0"/>
    <s v="APPR"/>
    <x v="0"/>
    <x v="0"/>
    <x v="4"/>
    <x v="0"/>
    <m/>
    <x v="0"/>
    <x v="0"/>
    <s v="Resolved"/>
    <n v="0.42"/>
    <n v="1075"/>
    <n v="451.5"/>
    <n v="46268.655147939811"/>
    <x v="7"/>
  </r>
  <r>
    <n v="1000003808"/>
    <s v="Centennial ISD #12"/>
    <n v="1000005502"/>
    <x v="4"/>
    <s v="SNP"/>
    <x v="0"/>
    <x v="0"/>
    <n v="0"/>
    <s v="APPR"/>
    <x v="1"/>
    <x v="0"/>
    <x v="0"/>
    <x v="0"/>
    <m/>
    <x v="1"/>
    <x v="1"/>
    <s v="Resolved"/>
    <n v="4.3099999999999996"/>
    <n v="460"/>
    <n v="1982.6"/>
    <n v="46268.655147939811"/>
    <x v="5"/>
  </r>
  <r>
    <n v="1000003808"/>
    <s v="Centennial ISD #12"/>
    <n v="1000005502"/>
    <x v="4"/>
    <s v="SNP"/>
    <x v="0"/>
    <x v="0"/>
    <n v="0"/>
    <s v="APPR"/>
    <x v="1"/>
    <x v="0"/>
    <x v="1"/>
    <x v="0"/>
    <m/>
    <x v="1"/>
    <x v="2"/>
    <s v="Resolved"/>
    <n v="0.09"/>
    <n v="1821"/>
    <n v="163.89"/>
    <n v="46268.655147939811"/>
    <x v="2"/>
  </r>
  <r>
    <n v="1000003808"/>
    <s v="Centennial ISD #12"/>
    <n v="1000005502"/>
    <x v="4"/>
    <s v="SNP"/>
    <x v="0"/>
    <x v="0"/>
    <n v="0"/>
    <s v="APPR"/>
    <x v="1"/>
    <x v="0"/>
    <x v="3"/>
    <x v="0"/>
    <m/>
    <x v="1"/>
    <x v="1"/>
    <s v="Resolved"/>
    <n v="3.91"/>
    <n v="175"/>
    <n v="684.25"/>
    <n v="46268.655147939811"/>
    <x v="5"/>
  </r>
  <r>
    <n v="1000003808"/>
    <s v="Centennial ISD #12"/>
    <n v="1000005502"/>
    <x v="4"/>
    <s v="SNP"/>
    <x v="0"/>
    <x v="0"/>
    <n v="0"/>
    <s v="APPR"/>
    <x v="1"/>
    <x v="0"/>
    <x v="2"/>
    <x v="0"/>
    <m/>
    <x v="1"/>
    <x v="3"/>
    <s v="Resolved"/>
    <n v="0.45"/>
    <n v="1821"/>
    <n v="819.45"/>
    <n v="46268.655147939811"/>
    <x v="5"/>
  </r>
  <r>
    <n v="1000003808"/>
    <s v="Centennial ISD #12"/>
    <n v="1000005502"/>
    <x v="4"/>
    <s v="SNP"/>
    <x v="0"/>
    <x v="0"/>
    <n v="0"/>
    <s v="APPR"/>
    <x v="0"/>
    <x v="0"/>
    <x v="3"/>
    <x v="1"/>
    <m/>
    <x v="3"/>
    <x v="0"/>
    <s v="Resolved"/>
    <n v="0.3"/>
    <n v="161"/>
    <n v="48.3"/>
    <n v="46268.655147939811"/>
    <x v="3"/>
  </r>
  <r>
    <n v="1000003808"/>
    <s v="Centennial ISD #12"/>
    <n v="1000005502"/>
    <x v="4"/>
    <s v="SNP"/>
    <x v="0"/>
    <x v="0"/>
    <n v="0"/>
    <s v="APPR"/>
    <x v="0"/>
    <x v="0"/>
    <x v="4"/>
    <x v="1"/>
    <m/>
    <x v="3"/>
    <x v="0"/>
    <s v="Resolved"/>
    <n v="2.12"/>
    <n v="1075"/>
    <n v="2279"/>
    <n v="46268.655147939811"/>
    <x v="8"/>
  </r>
  <r>
    <n v="1000003808"/>
    <s v="Centennial ISD #12"/>
    <n v="1000005502"/>
    <x v="4"/>
    <s v="SNP"/>
    <x v="0"/>
    <x v="0"/>
    <n v="0"/>
    <s v="APPR"/>
    <x v="1"/>
    <x v="0"/>
    <x v="0"/>
    <x v="1"/>
    <m/>
    <x v="2"/>
    <x v="0"/>
    <s v="Resolved"/>
    <n v="0.125"/>
    <n v="460"/>
    <n v="57.5"/>
    <n v="46268.655147939811"/>
    <x v="3"/>
  </r>
  <r>
    <n v="1000003808"/>
    <s v="Centennial ISD #12"/>
    <n v="1000005502"/>
    <x v="4"/>
    <s v="SNP"/>
    <x v="0"/>
    <x v="0"/>
    <n v="0"/>
    <s v="APPR"/>
    <x v="1"/>
    <x v="0"/>
    <x v="3"/>
    <x v="1"/>
    <m/>
    <x v="2"/>
    <x v="0"/>
    <s v="Resolved"/>
    <n v="0.52500000000000002"/>
    <n v="175"/>
    <n v="91.87"/>
    <n v="46268.655147939811"/>
    <x v="3"/>
  </r>
  <r>
    <n v="1000003808"/>
    <s v="Centennial ISD #12"/>
    <n v="1000005502"/>
    <x v="4"/>
    <s v="SNP"/>
    <x v="0"/>
    <x v="0"/>
    <n v="0"/>
    <s v="APPR"/>
    <x v="1"/>
    <x v="0"/>
    <x v="4"/>
    <x v="1"/>
    <m/>
    <x v="2"/>
    <x v="0"/>
    <s v="Resolved"/>
    <n v="4.4349999999999996"/>
    <n v="1186"/>
    <n v="5259.91"/>
    <n v="46268.655147939811"/>
    <x v="3"/>
  </r>
  <r>
    <n v="1000003835"/>
    <s v="Central School District ISD #108"/>
    <n v="1000001397"/>
    <x v="5"/>
    <s v="SNP"/>
    <x v="0"/>
    <x v="0"/>
    <n v="0"/>
    <s v="APPR"/>
    <x v="0"/>
    <x v="0"/>
    <x v="0"/>
    <x v="0"/>
    <m/>
    <x v="0"/>
    <x v="0"/>
    <s v="Resolved"/>
    <n v="2.54"/>
    <n v="75"/>
    <n v="190.5"/>
    <n v="46268.655147939811"/>
    <x v="7"/>
  </r>
  <r>
    <n v="1000003835"/>
    <s v="Central School District ISD #108"/>
    <n v="1000001397"/>
    <x v="5"/>
    <s v="SNP"/>
    <x v="0"/>
    <x v="0"/>
    <n v="0"/>
    <s v="APPR"/>
    <x v="0"/>
    <x v="0"/>
    <x v="3"/>
    <x v="0"/>
    <m/>
    <x v="0"/>
    <x v="0"/>
    <s v="Resolved"/>
    <n v="2.2400000000000002"/>
    <n v="32"/>
    <n v="71.680000000000007"/>
    <n v="46268.655147939811"/>
    <x v="7"/>
  </r>
  <r>
    <n v="1000003835"/>
    <s v="Central School District ISD #108"/>
    <n v="1000001397"/>
    <x v="5"/>
    <s v="SNP"/>
    <x v="0"/>
    <x v="0"/>
    <n v="0"/>
    <s v="APPR"/>
    <x v="0"/>
    <x v="0"/>
    <x v="4"/>
    <x v="0"/>
    <m/>
    <x v="0"/>
    <x v="0"/>
    <s v="Resolved"/>
    <n v="0.42"/>
    <n v="540"/>
    <n v="226.8"/>
    <n v="46268.655147939811"/>
    <x v="7"/>
  </r>
  <r>
    <n v="1000003835"/>
    <s v="Central School District ISD #108"/>
    <n v="1000001397"/>
    <x v="5"/>
    <s v="SNP"/>
    <x v="0"/>
    <x v="0"/>
    <n v="0"/>
    <s v="APPR"/>
    <x v="1"/>
    <x v="0"/>
    <x v="0"/>
    <x v="0"/>
    <m/>
    <x v="1"/>
    <x v="1"/>
    <s v="Resolved"/>
    <n v="4.3099999999999996"/>
    <n v="100"/>
    <n v="431"/>
    <n v="46268.655147939811"/>
    <x v="5"/>
  </r>
  <r>
    <n v="1000003835"/>
    <s v="Central School District ISD #108"/>
    <n v="1000001397"/>
    <x v="5"/>
    <s v="SNP"/>
    <x v="0"/>
    <x v="0"/>
    <n v="0"/>
    <s v="APPR"/>
    <x v="1"/>
    <x v="0"/>
    <x v="1"/>
    <x v="0"/>
    <m/>
    <x v="1"/>
    <x v="2"/>
    <s v="Resolved"/>
    <n v="0.09"/>
    <n v="751"/>
    <n v="67.59"/>
    <n v="46268.655147939811"/>
    <x v="2"/>
  </r>
  <r>
    <n v="1000003835"/>
    <s v="Central School District ISD #108"/>
    <n v="1000001397"/>
    <x v="5"/>
    <s v="SNP"/>
    <x v="0"/>
    <x v="0"/>
    <n v="0"/>
    <s v="APPR"/>
    <x v="1"/>
    <x v="0"/>
    <x v="3"/>
    <x v="0"/>
    <m/>
    <x v="1"/>
    <x v="1"/>
    <s v="Resolved"/>
    <n v="3.91"/>
    <n v="33"/>
    <n v="129.03"/>
    <n v="46268.655147939811"/>
    <x v="5"/>
  </r>
  <r>
    <n v="1000003835"/>
    <s v="Central School District ISD #108"/>
    <n v="1000001397"/>
    <x v="5"/>
    <s v="SNP"/>
    <x v="0"/>
    <x v="0"/>
    <n v="0"/>
    <s v="APPR"/>
    <x v="1"/>
    <x v="0"/>
    <x v="2"/>
    <x v="0"/>
    <m/>
    <x v="1"/>
    <x v="3"/>
    <s v="Resolved"/>
    <n v="0.45"/>
    <n v="751"/>
    <n v="337.95"/>
    <n v="46268.655147939811"/>
    <x v="5"/>
  </r>
  <r>
    <n v="1000003835"/>
    <s v="Central School District ISD #108"/>
    <n v="1000001397"/>
    <x v="5"/>
    <s v="SNP"/>
    <x v="0"/>
    <x v="0"/>
    <n v="0"/>
    <s v="APPR"/>
    <x v="0"/>
    <x v="0"/>
    <x v="3"/>
    <x v="1"/>
    <m/>
    <x v="3"/>
    <x v="0"/>
    <s v="Resolved"/>
    <n v="0.3"/>
    <n v="32"/>
    <n v="9.6"/>
    <n v="46268.655147939811"/>
    <x v="3"/>
  </r>
  <r>
    <n v="1000003835"/>
    <s v="Central School District ISD #108"/>
    <n v="1000001397"/>
    <x v="5"/>
    <s v="SNP"/>
    <x v="0"/>
    <x v="0"/>
    <n v="0"/>
    <s v="APPR"/>
    <x v="0"/>
    <x v="0"/>
    <x v="4"/>
    <x v="1"/>
    <m/>
    <x v="3"/>
    <x v="0"/>
    <s v="Resolved"/>
    <n v="2.12"/>
    <n v="540"/>
    <n v="1144.8"/>
    <n v="46268.655147939811"/>
    <x v="8"/>
  </r>
  <r>
    <n v="1000003835"/>
    <s v="Central School District ISD #108"/>
    <n v="1000001397"/>
    <x v="5"/>
    <s v="SNP"/>
    <x v="0"/>
    <x v="0"/>
    <n v="0"/>
    <s v="APPR"/>
    <x v="1"/>
    <x v="0"/>
    <x v="0"/>
    <x v="1"/>
    <m/>
    <x v="2"/>
    <x v="0"/>
    <s v="Resolved"/>
    <n v="0.125"/>
    <n v="100"/>
    <n v="12.5"/>
    <n v="46268.655147939811"/>
    <x v="3"/>
  </r>
  <r>
    <n v="1000003835"/>
    <s v="Central School District ISD #108"/>
    <n v="1000001397"/>
    <x v="5"/>
    <s v="SNP"/>
    <x v="0"/>
    <x v="0"/>
    <n v="0"/>
    <s v="APPR"/>
    <x v="1"/>
    <x v="0"/>
    <x v="3"/>
    <x v="1"/>
    <m/>
    <x v="2"/>
    <x v="0"/>
    <s v="Resolved"/>
    <n v="0.52500000000000002"/>
    <n v="33"/>
    <n v="17.32"/>
    <n v="46268.655147939811"/>
    <x v="3"/>
  </r>
  <r>
    <n v="1000003835"/>
    <s v="Central School District ISD #108"/>
    <n v="1000001397"/>
    <x v="5"/>
    <s v="SNP"/>
    <x v="0"/>
    <x v="0"/>
    <n v="0"/>
    <s v="APPR"/>
    <x v="1"/>
    <x v="0"/>
    <x v="4"/>
    <x v="1"/>
    <m/>
    <x v="2"/>
    <x v="0"/>
    <s v="Resolved"/>
    <n v="4.4349999999999996"/>
    <n v="618"/>
    <n v="2740.83"/>
    <n v="46268.655147939811"/>
    <x v="3"/>
  </r>
  <r>
    <n v="1000003503"/>
    <s v="Detroit Lakes ISD #22"/>
    <n v="1000001309"/>
    <x v="6"/>
    <s v="SNP"/>
    <x v="0"/>
    <x v="0"/>
    <n v="0"/>
    <s v="APPR"/>
    <x v="0"/>
    <x v="0"/>
    <x v="0"/>
    <x v="0"/>
    <m/>
    <x v="0"/>
    <x v="0"/>
    <s v="Resolved"/>
    <n v="2.54"/>
    <n v="16"/>
    <n v="40.64"/>
    <n v="46268.655147939811"/>
    <x v="7"/>
  </r>
  <r>
    <n v="1000003503"/>
    <s v="Detroit Lakes ISD #22"/>
    <n v="1000001309"/>
    <x v="6"/>
    <s v="SNP"/>
    <x v="0"/>
    <x v="0"/>
    <n v="0"/>
    <s v="APPR"/>
    <x v="0"/>
    <x v="0"/>
    <x v="3"/>
    <x v="0"/>
    <m/>
    <x v="0"/>
    <x v="0"/>
    <s v="Resolved"/>
    <n v="2.2400000000000002"/>
    <n v="4"/>
    <n v="8.9600000000000009"/>
    <n v="46268.655147939811"/>
    <x v="7"/>
  </r>
  <r>
    <n v="1000003503"/>
    <s v="Detroit Lakes ISD #22"/>
    <n v="1000001309"/>
    <x v="6"/>
    <s v="SNP"/>
    <x v="0"/>
    <x v="0"/>
    <n v="0"/>
    <s v="APPR"/>
    <x v="0"/>
    <x v="0"/>
    <x v="4"/>
    <x v="0"/>
    <m/>
    <x v="0"/>
    <x v="0"/>
    <s v="Resolved"/>
    <n v="0.42"/>
    <n v="21"/>
    <n v="8.82"/>
    <n v="46268.655147939811"/>
    <x v="7"/>
  </r>
  <r>
    <n v="1000003503"/>
    <s v="Detroit Lakes ISD #22"/>
    <n v="1000001309"/>
    <x v="6"/>
    <s v="SNP"/>
    <x v="0"/>
    <x v="0"/>
    <n v="0"/>
    <s v="APPR"/>
    <x v="1"/>
    <x v="0"/>
    <x v="0"/>
    <x v="0"/>
    <m/>
    <x v="1"/>
    <x v="1"/>
    <s v="Resolved"/>
    <n v="4.3099999999999996"/>
    <n v="11"/>
    <n v="47.41"/>
    <n v="46268.655147939811"/>
    <x v="5"/>
  </r>
  <r>
    <n v="1000003503"/>
    <s v="Detroit Lakes ISD #22"/>
    <n v="1000001309"/>
    <x v="6"/>
    <s v="SNP"/>
    <x v="0"/>
    <x v="0"/>
    <n v="0"/>
    <s v="APPR"/>
    <x v="1"/>
    <x v="0"/>
    <x v="1"/>
    <x v="0"/>
    <m/>
    <x v="1"/>
    <x v="2"/>
    <s v="Resolved"/>
    <n v="0.09"/>
    <n v="32"/>
    <n v="2.88"/>
    <n v="46268.655147939811"/>
    <x v="2"/>
  </r>
  <r>
    <n v="1000003503"/>
    <s v="Detroit Lakes ISD #22"/>
    <n v="1000001309"/>
    <x v="6"/>
    <s v="SNP"/>
    <x v="0"/>
    <x v="0"/>
    <n v="0"/>
    <s v="APPR"/>
    <x v="1"/>
    <x v="0"/>
    <x v="3"/>
    <x v="0"/>
    <m/>
    <x v="1"/>
    <x v="1"/>
    <s v="Resolved"/>
    <n v="3.91"/>
    <n v="7"/>
    <n v="27.37"/>
    <n v="46268.655147939811"/>
    <x v="5"/>
  </r>
  <r>
    <n v="1000003503"/>
    <s v="Detroit Lakes ISD #22"/>
    <n v="1000001309"/>
    <x v="6"/>
    <s v="SNP"/>
    <x v="0"/>
    <x v="0"/>
    <n v="0"/>
    <s v="APPR"/>
    <x v="1"/>
    <x v="0"/>
    <x v="2"/>
    <x v="0"/>
    <m/>
    <x v="1"/>
    <x v="3"/>
    <s v="Resolved"/>
    <n v="0.45"/>
    <n v="32"/>
    <n v="14.4"/>
    <n v="46268.655147939811"/>
    <x v="5"/>
  </r>
  <r>
    <n v="1000003503"/>
    <s v="Detroit Lakes ISD #22"/>
    <n v="1000001309"/>
    <x v="6"/>
    <s v="SNP"/>
    <x v="0"/>
    <x v="0"/>
    <n v="0"/>
    <s v="APPR"/>
    <x v="0"/>
    <x v="0"/>
    <x v="3"/>
    <x v="1"/>
    <m/>
    <x v="3"/>
    <x v="0"/>
    <s v="Resolved"/>
    <n v="0.3"/>
    <n v="4"/>
    <n v="1.2"/>
    <n v="46268.655147939811"/>
    <x v="3"/>
  </r>
  <r>
    <n v="1000003503"/>
    <s v="Detroit Lakes ISD #22"/>
    <n v="1000001309"/>
    <x v="6"/>
    <s v="SNP"/>
    <x v="0"/>
    <x v="0"/>
    <n v="0"/>
    <s v="APPR"/>
    <x v="0"/>
    <x v="0"/>
    <x v="4"/>
    <x v="1"/>
    <m/>
    <x v="3"/>
    <x v="0"/>
    <s v="Resolved"/>
    <n v="2.12"/>
    <n v="21"/>
    <n v="44.52"/>
    <n v="46268.655147939811"/>
    <x v="8"/>
  </r>
  <r>
    <n v="1000003503"/>
    <s v="Detroit Lakes ISD #22"/>
    <n v="1000001309"/>
    <x v="6"/>
    <s v="SNP"/>
    <x v="0"/>
    <x v="0"/>
    <n v="0"/>
    <s v="APPR"/>
    <x v="1"/>
    <x v="0"/>
    <x v="0"/>
    <x v="1"/>
    <m/>
    <x v="2"/>
    <x v="0"/>
    <s v="Resolved"/>
    <n v="0.125"/>
    <n v="11"/>
    <n v="1.37"/>
    <n v="46268.655147939811"/>
    <x v="3"/>
  </r>
  <r>
    <n v="1000003503"/>
    <s v="Detroit Lakes ISD #22"/>
    <n v="1000001309"/>
    <x v="6"/>
    <s v="SNP"/>
    <x v="0"/>
    <x v="0"/>
    <n v="0"/>
    <s v="APPR"/>
    <x v="1"/>
    <x v="0"/>
    <x v="3"/>
    <x v="1"/>
    <m/>
    <x v="2"/>
    <x v="0"/>
    <s v="Resolved"/>
    <n v="0.52500000000000002"/>
    <n v="7"/>
    <n v="3.67"/>
    <n v="46268.655147939811"/>
    <x v="3"/>
  </r>
  <r>
    <n v="1000003503"/>
    <s v="Detroit Lakes ISD #22"/>
    <n v="1000001309"/>
    <x v="6"/>
    <s v="SNP"/>
    <x v="0"/>
    <x v="0"/>
    <n v="0"/>
    <s v="APPR"/>
    <x v="1"/>
    <x v="0"/>
    <x v="4"/>
    <x v="1"/>
    <m/>
    <x v="2"/>
    <x v="0"/>
    <s v="Resolved"/>
    <n v="4.4349999999999996"/>
    <n v="14"/>
    <n v="62.09"/>
    <n v="46268.655147939811"/>
    <x v="3"/>
  </r>
  <r>
    <n v="1000003503"/>
    <s v="Detroit Lakes ISD #22"/>
    <n v="1000001314"/>
    <x v="7"/>
    <s v="SNP"/>
    <x v="0"/>
    <x v="0"/>
    <n v="0"/>
    <s v="APPR"/>
    <x v="0"/>
    <x v="0"/>
    <x v="0"/>
    <x v="0"/>
    <m/>
    <x v="0"/>
    <x v="0"/>
    <s v="Resolved"/>
    <n v="3.05"/>
    <n v="86"/>
    <n v="262.3"/>
    <n v="46268.655147939811"/>
    <x v="0"/>
  </r>
  <r>
    <n v="1000003503"/>
    <s v="Detroit Lakes ISD #22"/>
    <n v="1000001314"/>
    <x v="7"/>
    <s v="SNP"/>
    <x v="0"/>
    <x v="0"/>
    <n v="0"/>
    <s v="APPR"/>
    <x v="0"/>
    <x v="0"/>
    <x v="3"/>
    <x v="0"/>
    <m/>
    <x v="0"/>
    <x v="0"/>
    <s v="Resolved"/>
    <n v="2.75"/>
    <n v="10"/>
    <n v="27.5"/>
    <n v="46268.655147939811"/>
    <x v="0"/>
  </r>
  <r>
    <n v="1000003503"/>
    <s v="Detroit Lakes ISD #22"/>
    <n v="1000001314"/>
    <x v="7"/>
    <s v="SNP"/>
    <x v="0"/>
    <x v="0"/>
    <n v="0"/>
    <s v="APPR"/>
    <x v="0"/>
    <x v="0"/>
    <x v="4"/>
    <x v="0"/>
    <m/>
    <x v="0"/>
    <x v="0"/>
    <s v="Resolved"/>
    <n v="0.42"/>
    <n v="313"/>
    <n v="131.46"/>
    <n v="46268.655147939811"/>
    <x v="0"/>
  </r>
  <r>
    <n v="1000003503"/>
    <s v="Detroit Lakes ISD #22"/>
    <n v="1000001314"/>
    <x v="7"/>
    <s v="SNP"/>
    <x v="0"/>
    <x v="0"/>
    <n v="0"/>
    <s v="APPR"/>
    <x v="1"/>
    <x v="0"/>
    <x v="0"/>
    <x v="0"/>
    <m/>
    <x v="1"/>
    <x v="1"/>
    <s v="Resolved"/>
    <n v="4.3099999999999996"/>
    <n v="117"/>
    <n v="504.27"/>
    <n v="46268.655147939811"/>
    <x v="5"/>
  </r>
  <r>
    <n v="1000003503"/>
    <s v="Detroit Lakes ISD #22"/>
    <n v="1000001314"/>
    <x v="7"/>
    <s v="SNP"/>
    <x v="0"/>
    <x v="0"/>
    <n v="0"/>
    <s v="APPR"/>
    <x v="1"/>
    <x v="0"/>
    <x v="1"/>
    <x v="0"/>
    <m/>
    <x v="1"/>
    <x v="2"/>
    <s v="Resolved"/>
    <n v="0.09"/>
    <n v="490"/>
    <n v="44.1"/>
    <n v="46268.655147939811"/>
    <x v="2"/>
  </r>
  <r>
    <n v="1000003503"/>
    <s v="Detroit Lakes ISD #22"/>
    <n v="1000001314"/>
    <x v="7"/>
    <s v="SNP"/>
    <x v="0"/>
    <x v="0"/>
    <n v="0"/>
    <s v="APPR"/>
    <x v="1"/>
    <x v="0"/>
    <x v="3"/>
    <x v="0"/>
    <m/>
    <x v="1"/>
    <x v="1"/>
    <s v="Resolved"/>
    <n v="3.91"/>
    <n v="17"/>
    <n v="66.47"/>
    <n v="46268.655147939811"/>
    <x v="5"/>
  </r>
  <r>
    <n v="1000003503"/>
    <s v="Detroit Lakes ISD #22"/>
    <n v="1000001314"/>
    <x v="7"/>
    <s v="SNP"/>
    <x v="0"/>
    <x v="0"/>
    <n v="0"/>
    <s v="APPR"/>
    <x v="1"/>
    <x v="0"/>
    <x v="2"/>
    <x v="0"/>
    <m/>
    <x v="1"/>
    <x v="3"/>
    <s v="Resolved"/>
    <n v="0.45"/>
    <n v="490"/>
    <n v="220.5"/>
    <n v="46268.655147939811"/>
    <x v="5"/>
  </r>
  <r>
    <n v="1000003503"/>
    <s v="Detroit Lakes ISD #22"/>
    <n v="1000001314"/>
    <x v="7"/>
    <s v="SNP"/>
    <x v="0"/>
    <x v="0"/>
    <n v="0"/>
    <s v="APPR"/>
    <x v="0"/>
    <x v="0"/>
    <x v="3"/>
    <x v="1"/>
    <m/>
    <x v="3"/>
    <x v="0"/>
    <s v="Resolved"/>
    <n v="0.3"/>
    <n v="10"/>
    <n v="3"/>
    <n v="46268.655147939811"/>
    <x v="3"/>
  </r>
  <r>
    <n v="1000003503"/>
    <s v="Detroit Lakes ISD #22"/>
    <n v="1000001314"/>
    <x v="7"/>
    <s v="SNP"/>
    <x v="0"/>
    <x v="0"/>
    <n v="0"/>
    <s v="APPR"/>
    <x v="0"/>
    <x v="0"/>
    <x v="4"/>
    <x v="1"/>
    <m/>
    <x v="3"/>
    <x v="0"/>
    <s v="Resolved"/>
    <n v="2.63"/>
    <n v="313"/>
    <n v="823.19"/>
    <n v="46268.655147939811"/>
    <x v="6"/>
  </r>
  <r>
    <n v="1000003503"/>
    <s v="Detroit Lakes ISD #22"/>
    <n v="1000001314"/>
    <x v="7"/>
    <s v="SNP"/>
    <x v="0"/>
    <x v="0"/>
    <n v="0"/>
    <s v="APPR"/>
    <x v="1"/>
    <x v="0"/>
    <x v="0"/>
    <x v="1"/>
    <m/>
    <x v="2"/>
    <x v="0"/>
    <s v="Resolved"/>
    <n v="0.125"/>
    <n v="117"/>
    <n v="14.62"/>
    <n v="46268.655147939811"/>
    <x v="3"/>
  </r>
  <r>
    <n v="1000003503"/>
    <s v="Detroit Lakes ISD #22"/>
    <n v="1000001314"/>
    <x v="7"/>
    <s v="SNP"/>
    <x v="0"/>
    <x v="0"/>
    <n v="0"/>
    <s v="APPR"/>
    <x v="1"/>
    <x v="0"/>
    <x v="3"/>
    <x v="1"/>
    <m/>
    <x v="2"/>
    <x v="0"/>
    <s v="Resolved"/>
    <n v="0.52500000000000002"/>
    <n v="17"/>
    <n v="8.92"/>
    <n v="46268.655147939811"/>
    <x v="3"/>
  </r>
  <r>
    <n v="1000003503"/>
    <s v="Detroit Lakes ISD #22"/>
    <n v="1000001314"/>
    <x v="7"/>
    <s v="SNP"/>
    <x v="0"/>
    <x v="0"/>
    <n v="0"/>
    <s v="APPR"/>
    <x v="1"/>
    <x v="0"/>
    <x v="4"/>
    <x v="1"/>
    <m/>
    <x v="2"/>
    <x v="0"/>
    <s v="Resolved"/>
    <n v="4.4349999999999996"/>
    <n v="356"/>
    <n v="1578.86"/>
    <n v="46268.655147939811"/>
    <x v="3"/>
  </r>
  <r>
    <n v="1000003838"/>
    <s v="Eastern Carver County School ISD #112"/>
    <n v="9000016559"/>
    <x v="8"/>
    <s v="SNP"/>
    <x v="0"/>
    <x v="0"/>
    <n v="0"/>
    <s v="APPR"/>
    <x v="0"/>
    <x v="0"/>
    <x v="0"/>
    <x v="0"/>
    <m/>
    <x v="0"/>
    <x v="0"/>
    <s v="Resolved"/>
    <n v="2.54"/>
    <n v="843"/>
    <n v="2141.2199999999998"/>
    <n v="46268.655147939811"/>
    <x v="7"/>
  </r>
  <r>
    <n v="1000003838"/>
    <s v="Eastern Carver County School ISD #112"/>
    <n v="9000016559"/>
    <x v="8"/>
    <s v="SNP"/>
    <x v="0"/>
    <x v="0"/>
    <n v="0"/>
    <s v="APPR"/>
    <x v="0"/>
    <x v="0"/>
    <x v="3"/>
    <x v="0"/>
    <m/>
    <x v="0"/>
    <x v="0"/>
    <s v="Resolved"/>
    <n v="2.2400000000000002"/>
    <n v="110"/>
    <n v="246.4"/>
    <n v="46268.655147939811"/>
    <x v="7"/>
  </r>
  <r>
    <n v="1000003838"/>
    <s v="Eastern Carver County School ISD #112"/>
    <n v="9000016559"/>
    <x v="8"/>
    <s v="SNP"/>
    <x v="0"/>
    <x v="0"/>
    <n v="0"/>
    <s v="APPR"/>
    <x v="0"/>
    <x v="0"/>
    <x v="4"/>
    <x v="0"/>
    <m/>
    <x v="0"/>
    <x v="0"/>
    <s v="Resolved"/>
    <n v="0.42"/>
    <n v="821"/>
    <n v="344.82"/>
    <n v="46268.655147939811"/>
    <x v="7"/>
  </r>
  <r>
    <n v="1000003838"/>
    <s v="Eastern Carver County School ISD #112"/>
    <n v="9000016559"/>
    <x v="8"/>
    <s v="SNP"/>
    <x v="0"/>
    <x v="0"/>
    <n v="0"/>
    <s v="APPR"/>
    <x v="1"/>
    <x v="0"/>
    <x v="0"/>
    <x v="0"/>
    <m/>
    <x v="1"/>
    <x v="1"/>
    <s v="Resolved"/>
    <n v="4.3099999999999996"/>
    <n v="1182"/>
    <n v="5094.42"/>
    <n v="46268.655147939811"/>
    <x v="5"/>
  </r>
  <r>
    <n v="1000003838"/>
    <s v="Eastern Carver County School ISD #112"/>
    <n v="9000016559"/>
    <x v="8"/>
    <s v="SNP"/>
    <x v="0"/>
    <x v="0"/>
    <n v="0"/>
    <s v="APPR"/>
    <x v="1"/>
    <x v="0"/>
    <x v="1"/>
    <x v="0"/>
    <m/>
    <x v="1"/>
    <x v="2"/>
    <s v="Resolved"/>
    <n v="0.09"/>
    <n v="3081"/>
    <n v="277.29000000000002"/>
    <n v="46268.655147939811"/>
    <x v="2"/>
  </r>
  <r>
    <n v="1000003838"/>
    <s v="Eastern Carver County School ISD #112"/>
    <n v="9000016559"/>
    <x v="8"/>
    <s v="SNP"/>
    <x v="0"/>
    <x v="0"/>
    <n v="0"/>
    <s v="APPR"/>
    <x v="1"/>
    <x v="0"/>
    <x v="3"/>
    <x v="0"/>
    <m/>
    <x v="1"/>
    <x v="1"/>
    <s v="Resolved"/>
    <n v="3.91"/>
    <n v="192"/>
    <n v="750.72"/>
    <n v="46268.655147939811"/>
    <x v="5"/>
  </r>
  <r>
    <n v="1000003838"/>
    <s v="Eastern Carver County School ISD #112"/>
    <n v="9000016559"/>
    <x v="8"/>
    <s v="SNP"/>
    <x v="0"/>
    <x v="0"/>
    <n v="0"/>
    <s v="APPR"/>
    <x v="1"/>
    <x v="0"/>
    <x v="2"/>
    <x v="0"/>
    <m/>
    <x v="1"/>
    <x v="3"/>
    <s v="Resolved"/>
    <n v="0.45"/>
    <n v="3081"/>
    <n v="1386.45"/>
    <n v="46268.655147939811"/>
    <x v="5"/>
  </r>
  <r>
    <n v="1000003838"/>
    <s v="Eastern Carver County School ISD #112"/>
    <n v="9000016559"/>
    <x v="8"/>
    <s v="SNP"/>
    <x v="0"/>
    <x v="0"/>
    <n v="0"/>
    <s v="APPR"/>
    <x v="0"/>
    <x v="0"/>
    <x v="3"/>
    <x v="1"/>
    <m/>
    <x v="3"/>
    <x v="0"/>
    <s v="Resolved"/>
    <n v="0.3"/>
    <n v="110"/>
    <n v="33"/>
    <n v="46268.655147939811"/>
    <x v="3"/>
  </r>
  <r>
    <n v="1000003838"/>
    <s v="Eastern Carver County School ISD #112"/>
    <n v="9000016559"/>
    <x v="8"/>
    <s v="SNP"/>
    <x v="0"/>
    <x v="0"/>
    <n v="0"/>
    <s v="APPR"/>
    <x v="0"/>
    <x v="0"/>
    <x v="4"/>
    <x v="1"/>
    <m/>
    <x v="3"/>
    <x v="0"/>
    <s v="Resolved"/>
    <n v="2.12"/>
    <n v="821"/>
    <n v="1740.52"/>
    <n v="46268.655147939811"/>
    <x v="8"/>
  </r>
  <r>
    <n v="1000003838"/>
    <s v="Eastern Carver County School ISD #112"/>
    <n v="9000016559"/>
    <x v="8"/>
    <s v="SNP"/>
    <x v="0"/>
    <x v="0"/>
    <n v="0"/>
    <s v="APPR"/>
    <x v="1"/>
    <x v="0"/>
    <x v="0"/>
    <x v="1"/>
    <m/>
    <x v="2"/>
    <x v="0"/>
    <s v="Resolved"/>
    <n v="0.125"/>
    <n v="1182"/>
    <n v="147.75"/>
    <n v="46268.655147939811"/>
    <x v="3"/>
  </r>
  <r>
    <n v="1000003838"/>
    <s v="Eastern Carver County School ISD #112"/>
    <n v="9000016559"/>
    <x v="8"/>
    <s v="SNP"/>
    <x v="0"/>
    <x v="0"/>
    <n v="0"/>
    <s v="APPR"/>
    <x v="1"/>
    <x v="0"/>
    <x v="3"/>
    <x v="1"/>
    <m/>
    <x v="2"/>
    <x v="0"/>
    <s v="Resolved"/>
    <n v="0.52500000000000002"/>
    <n v="192"/>
    <n v="100.8"/>
    <n v="46268.655147939811"/>
    <x v="3"/>
  </r>
  <r>
    <n v="1000003838"/>
    <s v="Eastern Carver County School ISD #112"/>
    <n v="9000016559"/>
    <x v="8"/>
    <s v="SNP"/>
    <x v="0"/>
    <x v="0"/>
    <n v="0"/>
    <s v="APPR"/>
    <x v="1"/>
    <x v="0"/>
    <x v="4"/>
    <x v="1"/>
    <m/>
    <x v="2"/>
    <x v="0"/>
    <s v="Resolved"/>
    <n v="4.4349999999999996"/>
    <n v="1707"/>
    <n v="7570.54"/>
    <n v="46268.655147939811"/>
    <x v="3"/>
  </r>
  <r>
    <n v="1000003838"/>
    <s v="Eastern Carver County School ISD #112"/>
    <n v="9000010067"/>
    <x v="9"/>
    <s v="SNP"/>
    <x v="0"/>
    <x v="0"/>
    <n v="0"/>
    <s v="APPR"/>
    <x v="0"/>
    <x v="0"/>
    <x v="0"/>
    <x v="0"/>
    <m/>
    <x v="0"/>
    <x v="0"/>
    <s v="Resolved"/>
    <n v="2.54"/>
    <n v="281"/>
    <n v="713.74"/>
    <n v="46268.655147939811"/>
    <x v="7"/>
  </r>
  <r>
    <n v="1000003838"/>
    <s v="Eastern Carver County School ISD #112"/>
    <n v="9000010067"/>
    <x v="9"/>
    <s v="SNP"/>
    <x v="0"/>
    <x v="0"/>
    <n v="0"/>
    <s v="APPR"/>
    <x v="0"/>
    <x v="0"/>
    <x v="3"/>
    <x v="0"/>
    <m/>
    <x v="0"/>
    <x v="0"/>
    <s v="Resolved"/>
    <n v="2.2400000000000002"/>
    <n v="61"/>
    <n v="136.63999999999999"/>
    <n v="46268.655147939811"/>
    <x v="7"/>
  </r>
  <r>
    <n v="1000003838"/>
    <s v="Eastern Carver County School ISD #112"/>
    <n v="9000010067"/>
    <x v="9"/>
    <s v="SNP"/>
    <x v="0"/>
    <x v="0"/>
    <n v="0"/>
    <s v="APPR"/>
    <x v="0"/>
    <x v="0"/>
    <x v="4"/>
    <x v="0"/>
    <m/>
    <x v="0"/>
    <x v="0"/>
    <s v="Resolved"/>
    <n v="0.42"/>
    <n v="338"/>
    <n v="141.96"/>
    <n v="46268.655147939811"/>
    <x v="7"/>
  </r>
  <r>
    <n v="1000003838"/>
    <s v="Eastern Carver County School ISD #112"/>
    <n v="9000010067"/>
    <x v="9"/>
    <s v="SNP"/>
    <x v="0"/>
    <x v="0"/>
    <n v="0"/>
    <s v="APPR"/>
    <x v="1"/>
    <x v="0"/>
    <x v="0"/>
    <x v="0"/>
    <m/>
    <x v="1"/>
    <x v="1"/>
    <s v="Resolved"/>
    <n v="4.3099999999999996"/>
    <n v="661"/>
    <n v="2848.91"/>
    <n v="46268.655147939811"/>
    <x v="5"/>
  </r>
  <r>
    <n v="1000003838"/>
    <s v="Eastern Carver County School ISD #112"/>
    <n v="9000010067"/>
    <x v="9"/>
    <s v="SNP"/>
    <x v="0"/>
    <x v="0"/>
    <n v="0"/>
    <s v="APPR"/>
    <x v="1"/>
    <x v="0"/>
    <x v="1"/>
    <x v="0"/>
    <m/>
    <x v="1"/>
    <x v="2"/>
    <s v="Resolved"/>
    <n v="0.09"/>
    <n v="1764"/>
    <n v="158.76"/>
    <n v="46268.655147939811"/>
    <x v="2"/>
  </r>
  <r>
    <n v="1000003838"/>
    <s v="Eastern Carver County School ISD #112"/>
    <n v="9000010067"/>
    <x v="9"/>
    <s v="SNP"/>
    <x v="0"/>
    <x v="0"/>
    <n v="0"/>
    <s v="APPR"/>
    <x v="1"/>
    <x v="0"/>
    <x v="3"/>
    <x v="0"/>
    <m/>
    <x v="1"/>
    <x v="1"/>
    <s v="Resolved"/>
    <n v="3.91"/>
    <n v="219"/>
    <n v="856.29"/>
    <n v="46268.655147939811"/>
    <x v="5"/>
  </r>
  <r>
    <n v="1000003838"/>
    <s v="Eastern Carver County School ISD #112"/>
    <n v="9000010067"/>
    <x v="9"/>
    <s v="SNP"/>
    <x v="0"/>
    <x v="0"/>
    <n v="0"/>
    <s v="APPR"/>
    <x v="1"/>
    <x v="0"/>
    <x v="2"/>
    <x v="0"/>
    <m/>
    <x v="1"/>
    <x v="3"/>
    <s v="Resolved"/>
    <n v="0.45"/>
    <n v="1764"/>
    <n v="793.8"/>
    <n v="46268.655147939811"/>
    <x v="5"/>
  </r>
  <r>
    <n v="1000003838"/>
    <s v="Eastern Carver County School ISD #112"/>
    <n v="9000010067"/>
    <x v="9"/>
    <s v="SNP"/>
    <x v="0"/>
    <x v="0"/>
    <n v="0"/>
    <s v="APPR"/>
    <x v="0"/>
    <x v="0"/>
    <x v="3"/>
    <x v="1"/>
    <m/>
    <x v="3"/>
    <x v="0"/>
    <s v="Resolved"/>
    <n v="0.3"/>
    <n v="61"/>
    <n v="18.3"/>
    <n v="46268.655147939811"/>
    <x v="3"/>
  </r>
  <r>
    <n v="1000003838"/>
    <s v="Eastern Carver County School ISD #112"/>
    <n v="9000010067"/>
    <x v="9"/>
    <s v="SNP"/>
    <x v="0"/>
    <x v="0"/>
    <n v="0"/>
    <s v="APPR"/>
    <x v="0"/>
    <x v="0"/>
    <x v="4"/>
    <x v="1"/>
    <m/>
    <x v="3"/>
    <x v="0"/>
    <s v="Resolved"/>
    <n v="2.12"/>
    <n v="338"/>
    <n v="716.56"/>
    <n v="46268.655147939811"/>
    <x v="8"/>
  </r>
  <r>
    <n v="1000003838"/>
    <s v="Eastern Carver County School ISD #112"/>
    <n v="9000010067"/>
    <x v="9"/>
    <s v="SNP"/>
    <x v="0"/>
    <x v="0"/>
    <n v="0"/>
    <s v="APPR"/>
    <x v="1"/>
    <x v="0"/>
    <x v="0"/>
    <x v="1"/>
    <m/>
    <x v="2"/>
    <x v="0"/>
    <s v="Resolved"/>
    <n v="0.125"/>
    <n v="661"/>
    <n v="82.62"/>
    <n v="46268.655147939811"/>
    <x v="3"/>
  </r>
  <r>
    <n v="1000003838"/>
    <s v="Eastern Carver County School ISD #112"/>
    <n v="9000010067"/>
    <x v="9"/>
    <s v="SNP"/>
    <x v="0"/>
    <x v="0"/>
    <n v="0"/>
    <s v="APPR"/>
    <x v="1"/>
    <x v="0"/>
    <x v="3"/>
    <x v="1"/>
    <m/>
    <x v="2"/>
    <x v="0"/>
    <s v="Resolved"/>
    <n v="0.52500000000000002"/>
    <n v="219"/>
    <n v="114.97"/>
    <n v="46268.655147939811"/>
    <x v="3"/>
  </r>
  <r>
    <n v="1000003838"/>
    <s v="Eastern Carver County School ISD #112"/>
    <n v="9000010067"/>
    <x v="9"/>
    <s v="SNP"/>
    <x v="0"/>
    <x v="0"/>
    <n v="0"/>
    <s v="APPR"/>
    <x v="1"/>
    <x v="0"/>
    <x v="4"/>
    <x v="1"/>
    <m/>
    <x v="2"/>
    <x v="0"/>
    <s v="Resolved"/>
    <n v="4.4349999999999996"/>
    <n v="884"/>
    <n v="3920.54"/>
    <n v="46268.655147939811"/>
    <x v="3"/>
  </r>
  <r>
    <n v="1000003961"/>
    <s v="Fergus Falls ISD #544"/>
    <n v="1000001950"/>
    <x v="10"/>
    <s v="SNP"/>
    <x v="0"/>
    <x v="0"/>
    <n v="0"/>
    <s v="APPR"/>
    <x v="0"/>
    <x v="0"/>
    <x v="0"/>
    <x v="0"/>
    <m/>
    <x v="0"/>
    <x v="0"/>
    <s v="Resolved"/>
    <n v="2.54"/>
    <n v="248"/>
    <n v="629.91999999999996"/>
    <n v="46268.655147939811"/>
    <x v="7"/>
  </r>
  <r>
    <n v="1000003961"/>
    <s v="Fergus Falls ISD #544"/>
    <n v="1000001950"/>
    <x v="10"/>
    <s v="SNP"/>
    <x v="0"/>
    <x v="0"/>
    <n v="0"/>
    <s v="APPR"/>
    <x v="0"/>
    <x v="0"/>
    <x v="3"/>
    <x v="0"/>
    <m/>
    <x v="0"/>
    <x v="0"/>
    <s v="Resolved"/>
    <n v="2.2400000000000002"/>
    <n v="90"/>
    <n v="201.6"/>
    <n v="46268.655147939811"/>
    <x v="7"/>
  </r>
  <r>
    <n v="1000003961"/>
    <s v="Fergus Falls ISD #544"/>
    <n v="1000001950"/>
    <x v="10"/>
    <s v="SNP"/>
    <x v="0"/>
    <x v="0"/>
    <n v="0"/>
    <s v="APPR"/>
    <x v="0"/>
    <x v="0"/>
    <x v="4"/>
    <x v="0"/>
    <m/>
    <x v="0"/>
    <x v="0"/>
    <s v="Resolved"/>
    <n v="0.42"/>
    <n v="128"/>
    <n v="53.76"/>
    <n v="46268.655147939811"/>
    <x v="7"/>
  </r>
  <r>
    <n v="1000003961"/>
    <s v="Fergus Falls ISD #544"/>
    <n v="1000001950"/>
    <x v="10"/>
    <s v="SNP"/>
    <x v="0"/>
    <x v="0"/>
    <n v="0"/>
    <s v="APPR"/>
    <x v="1"/>
    <x v="0"/>
    <x v="0"/>
    <x v="0"/>
    <m/>
    <x v="1"/>
    <x v="1"/>
    <s v="Resolved"/>
    <n v="4.3099999999999996"/>
    <n v="335"/>
    <n v="1443.85"/>
    <n v="46268.655147939811"/>
    <x v="5"/>
  </r>
  <r>
    <n v="1000003961"/>
    <s v="Fergus Falls ISD #544"/>
    <n v="1000001950"/>
    <x v="10"/>
    <s v="SNP"/>
    <x v="0"/>
    <x v="0"/>
    <n v="0"/>
    <s v="APPR"/>
    <x v="1"/>
    <x v="0"/>
    <x v="1"/>
    <x v="0"/>
    <m/>
    <x v="1"/>
    <x v="2"/>
    <s v="Resolved"/>
    <n v="0.09"/>
    <n v="647"/>
    <n v="58.23"/>
    <n v="46268.655147939811"/>
    <x v="2"/>
  </r>
  <r>
    <n v="1000003961"/>
    <s v="Fergus Falls ISD #544"/>
    <n v="1000001950"/>
    <x v="10"/>
    <s v="SNP"/>
    <x v="0"/>
    <x v="0"/>
    <n v="0"/>
    <s v="APPR"/>
    <x v="1"/>
    <x v="0"/>
    <x v="3"/>
    <x v="0"/>
    <m/>
    <x v="1"/>
    <x v="1"/>
    <s v="Resolved"/>
    <n v="3.91"/>
    <n v="88"/>
    <n v="344.08"/>
    <n v="46268.655147939811"/>
    <x v="5"/>
  </r>
  <r>
    <n v="1000003961"/>
    <s v="Fergus Falls ISD #544"/>
    <n v="1000001950"/>
    <x v="10"/>
    <s v="SNP"/>
    <x v="0"/>
    <x v="0"/>
    <n v="0"/>
    <s v="APPR"/>
    <x v="1"/>
    <x v="0"/>
    <x v="2"/>
    <x v="0"/>
    <m/>
    <x v="1"/>
    <x v="3"/>
    <s v="Resolved"/>
    <n v="0.45"/>
    <n v="647"/>
    <n v="291.14999999999998"/>
    <n v="46268.655147939811"/>
    <x v="5"/>
  </r>
  <r>
    <n v="1000003961"/>
    <s v="Fergus Falls ISD #544"/>
    <n v="1000001950"/>
    <x v="10"/>
    <s v="SNP"/>
    <x v="0"/>
    <x v="0"/>
    <n v="0"/>
    <s v="APPR"/>
    <x v="0"/>
    <x v="0"/>
    <x v="3"/>
    <x v="1"/>
    <m/>
    <x v="3"/>
    <x v="0"/>
    <s v="Resolved"/>
    <n v="0.3"/>
    <n v="90"/>
    <n v="27"/>
    <n v="46268.655147939811"/>
    <x v="3"/>
  </r>
  <r>
    <n v="1000003961"/>
    <s v="Fergus Falls ISD #544"/>
    <n v="1000001950"/>
    <x v="10"/>
    <s v="SNP"/>
    <x v="0"/>
    <x v="0"/>
    <n v="0"/>
    <s v="APPR"/>
    <x v="0"/>
    <x v="0"/>
    <x v="4"/>
    <x v="1"/>
    <m/>
    <x v="3"/>
    <x v="0"/>
    <s v="Resolved"/>
    <n v="2.12"/>
    <n v="128"/>
    <n v="271.36"/>
    <n v="46268.655147939811"/>
    <x v="8"/>
  </r>
  <r>
    <n v="1000003961"/>
    <s v="Fergus Falls ISD #544"/>
    <n v="1000001950"/>
    <x v="10"/>
    <s v="SNP"/>
    <x v="0"/>
    <x v="0"/>
    <n v="0"/>
    <s v="APPR"/>
    <x v="1"/>
    <x v="0"/>
    <x v="0"/>
    <x v="1"/>
    <m/>
    <x v="2"/>
    <x v="0"/>
    <s v="Resolved"/>
    <n v="0.125"/>
    <n v="335"/>
    <n v="41.87"/>
    <n v="46268.655147939811"/>
    <x v="3"/>
  </r>
  <r>
    <n v="1000003961"/>
    <s v="Fergus Falls ISD #544"/>
    <n v="1000001950"/>
    <x v="10"/>
    <s v="SNP"/>
    <x v="0"/>
    <x v="0"/>
    <n v="0"/>
    <s v="APPR"/>
    <x v="1"/>
    <x v="0"/>
    <x v="3"/>
    <x v="1"/>
    <m/>
    <x v="2"/>
    <x v="0"/>
    <s v="Resolved"/>
    <n v="0.52500000000000002"/>
    <n v="88"/>
    <n v="46.2"/>
    <n v="46268.655147939811"/>
    <x v="3"/>
  </r>
  <r>
    <n v="1000003961"/>
    <s v="Fergus Falls ISD #544"/>
    <n v="1000001950"/>
    <x v="10"/>
    <s v="SNP"/>
    <x v="0"/>
    <x v="0"/>
    <n v="0"/>
    <s v="APPR"/>
    <x v="1"/>
    <x v="0"/>
    <x v="4"/>
    <x v="1"/>
    <m/>
    <x v="2"/>
    <x v="0"/>
    <s v="Resolved"/>
    <n v="4.4349999999999996"/>
    <n v="224"/>
    <n v="993.44"/>
    <n v="46268.655147939811"/>
    <x v="3"/>
  </r>
  <r>
    <n v="1000004768"/>
    <s v="Gerard Treatment Programs"/>
    <n v="1000004769"/>
    <x v="11"/>
    <s v="SNP"/>
    <x v="0"/>
    <x v="0"/>
    <n v="0"/>
    <s v="APPR"/>
    <x v="2"/>
    <x v="0"/>
    <x v="0"/>
    <x v="0"/>
    <m/>
    <x v="1"/>
    <x v="4"/>
    <s v="Resolved"/>
    <n v="1.3"/>
    <n v="858"/>
    <n v="1115.4000000000001"/>
    <n v="46268.655147939811"/>
    <x v="4"/>
  </r>
  <r>
    <n v="1000004768"/>
    <s v="Gerard Treatment Programs"/>
    <n v="1000004769"/>
    <x v="11"/>
    <s v="SNP"/>
    <x v="0"/>
    <x v="0"/>
    <n v="0"/>
    <s v="APPR"/>
    <x v="0"/>
    <x v="0"/>
    <x v="0"/>
    <x v="0"/>
    <m/>
    <x v="0"/>
    <x v="0"/>
    <s v="Resolved"/>
    <n v="3.05"/>
    <n v="1239"/>
    <n v="3778.95"/>
    <n v="46268.655147939811"/>
    <x v="0"/>
  </r>
  <r>
    <n v="1000004768"/>
    <s v="Gerard Treatment Programs"/>
    <n v="1000004769"/>
    <x v="11"/>
    <s v="SNP"/>
    <x v="0"/>
    <x v="0"/>
    <n v="0"/>
    <s v="APPR"/>
    <x v="1"/>
    <x v="0"/>
    <x v="0"/>
    <x v="0"/>
    <m/>
    <x v="1"/>
    <x v="1"/>
    <s v="Resolved"/>
    <n v="4.3099999999999996"/>
    <n v="1214"/>
    <n v="5232.34"/>
    <n v="46268.655147939811"/>
    <x v="1"/>
  </r>
  <r>
    <n v="1000004768"/>
    <s v="Gerard Treatment Programs"/>
    <n v="1000004769"/>
    <x v="11"/>
    <s v="SNP"/>
    <x v="0"/>
    <x v="0"/>
    <n v="0"/>
    <s v="APPR"/>
    <x v="1"/>
    <x v="0"/>
    <x v="1"/>
    <x v="0"/>
    <m/>
    <x v="1"/>
    <x v="2"/>
    <s v="Resolved"/>
    <n v="0.09"/>
    <n v="1214"/>
    <n v="109.26"/>
    <n v="46268.655147939811"/>
    <x v="2"/>
  </r>
  <r>
    <n v="1000004768"/>
    <s v="Gerard Treatment Programs"/>
    <n v="1000004769"/>
    <x v="11"/>
    <s v="SNP"/>
    <x v="0"/>
    <x v="0"/>
    <n v="0"/>
    <s v="APPR"/>
    <x v="1"/>
    <x v="0"/>
    <x v="2"/>
    <x v="0"/>
    <m/>
    <x v="1"/>
    <x v="3"/>
    <s v="Resolved"/>
    <n v="0.47"/>
    <n v="1214"/>
    <n v="570.58000000000004"/>
    <n v="46268.655147939811"/>
    <x v="1"/>
  </r>
  <r>
    <n v="1000004768"/>
    <s v="Gerard Treatment Programs"/>
    <n v="1000004769"/>
    <x v="11"/>
    <s v="SNP"/>
    <x v="0"/>
    <x v="0"/>
    <n v="0"/>
    <s v="APPR"/>
    <x v="1"/>
    <x v="0"/>
    <x v="0"/>
    <x v="1"/>
    <m/>
    <x v="2"/>
    <x v="0"/>
    <s v="Resolved"/>
    <n v="0.125"/>
    <n v="1214"/>
    <n v="151.75"/>
    <n v="46268.655147939811"/>
    <x v="3"/>
  </r>
  <r>
    <n v="1000004395"/>
    <s v="Heartland Girls Ranch"/>
    <n v="1000003270"/>
    <x v="12"/>
    <s v="SNP"/>
    <x v="0"/>
    <x v="0"/>
    <n v="0"/>
    <s v="APPR"/>
    <x v="2"/>
    <x v="0"/>
    <x v="0"/>
    <x v="0"/>
    <m/>
    <x v="1"/>
    <x v="4"/>
    <s v="Resolved"/>
    <n v="1.3"/>
    <n v="464"/>
    <n v="603.20000000000005"/>
    <n v="46268.655147939811"/>
    <x v="4"/>
  </r>
  <r>
    <n v="1000004395"/>
    <s v="Heartland Girls Ranch"/>
    <n v="1000003270"/>
    <x v="12"/>
    <s v="SNP"/>
    <x v="0"/>
    <x v="0"/>
    <n v="0"/>
    <s v="APPR"/>
    <x v="0"/>
    <x v="0"/>
    <x v="0"/>
    <x v="0"/>
    <m/>
    <x v="0"/>
    <x v="0"/>
    <s v="Resolved"/>
    <n v="3.05"/>
    <n v="609"/>
    <n v="1857.45"/>
    <n v="46268.655147939811"/>
    <x v="0"/>
  </r>
  <r>
    <n v="1000004395"/>
    <s v="Heartland Girls Ranch"/>
    <n v="1000003270"/>
    <x v="12"/>
    <s v="SNP"/>
    <x v="0"/>
    <x v="0"/>
    <n v="0"/>
    <s v="APPR"/>
    <x v="1"/>
    <x v="0"/>
    <x v="0"/>
    <x v="0"/>
    <m/>
    <x v="1"/>
    <x v="1"/>
    <s v="Resolved"/>
    <n v="4.3099999999999996"/>
    <n v="605"/>
    <n v="2607.5500000000002"/>
    <n v="46268.655147939811"/>
    <x v="1"/>
  </r>
  <r>
    <n v="1000004395"/>
    <s v="Heartland Girls Ranch"/>
    <n v="1000003270"/>
    <x v="12"/>
    <s v="SNP"/>
    <x v="0"/>
    <x v="0"/>
    <n v="0"/>
    <s v="APPR"/>
    <x v="1"/>
    <x v="0"/>
    <x v="1"/>
    <x v="0"/>
    <m/>
    <x v="1"/>
    <x v="2"/>
    <s v="Resolved"/>
    <n v="0.09"/>
    <n v="605"/>
    <n v="54.45"/>
    <n v="46268.655147939811"/>
    <x v="2"/>
  </r>
  <r>
    <n v="1000004395"/>
    <s v="Heartland Girls Ranch"/>
    <n v="1000003270"/>
    <x v="12"/>
    <s v="SNP"/>
    <x v="0"/>
    <x v="0"/>
    <n v="0"/>
    <s v="APPR"/>
    <x v="1"/>
    <x v="0"/>
    <x v="2"/>
    <x v="0"/>
    <m/>
    <x v="1"/>
    <x v="3"/>
    <s v="Resolved"/>
    <n v="0.47"/>
    <n v="605"/>
    <n v="284.35000000000002"/>
    <n v="46268.655147939811"/>
    <x v="1"/>
  </r>
  <r>
    <n v="1000004395"/>
    <s v="Heartland Girls Ranch"/>
    <n v="1000003270"/>
    <x v="12"/>
    <s v="SNP"/>
    <x v="0"/>
    <x v="0"/>
    <n v="0"/>
    <s v="APPR"/>
    <x v="1"/>
    <x v="0"/>
    <x v="0"/>
    <x v="1"/>
    <m/>
    <x v="2"/>
    <x v="0"/>
    <s v="Resolved"/>
    <n v="0.125"/>
    <n v="605"/>
    <n v="75.62"/>
    <n v="46268.655147939811"/>
    <x v="3"/>
  </r>
  <r>
    <n v="1000004368"/>
    <s v="Hennepin Cty Dept of Community Corrections &amp; Rehabilitation"/>
    <n v="1000003180"/>
    <x v="13"/>
    <s v="SNP"/>
    <x v="0"/>
    <x v="0"/>
    <n v="0"/>
    <s v="APPR"/>
    <x v="2"/>
    <x v="0"/>
    <x v="0"/>
    <x v="0"/>
    <m/>
    <x v="1"/>
    <x v="4"/>
    <s v="Resolved"/>
    <n v="1.3"/>
    <n v="198"/>
    <n v="257.39999999999998"/>
    <n v="46268.655147939811"/>
    <x v="4"/>
  </r>
  <r>
    <n v="1000004368"/>
    <s v="Hennepin Cty Dept of Community Corrections &amp; Rehabilitation"/>
    <n v="1000003180"/>
    <x v="13"/>
    <s v="SNP"/>
    <x v="0"/>
    <x v="0"/>
    <n v="0"/>
    <s v="APPR"/>
    <x v="0"/>
    <x v="0"/>
    <x v="0"/>
    <x v="0"/>
    <m/>
    <x v="0"/>
    <x v="0"/>
    <s v="Resolved"/>
    <n v="3.05"/>
    <n v="439"/>
    <n v="1338.95"/>
    <n v="46268.655147939811"/>
    <x v="0"/>
  </r>
  <r>
    <n v="1000004368"/>
    <s v="Hennepin Cty Dept of Community Corrections &amp; Rehabilitation"/>
    <n v="1000003180"/>
    <x v="13"/>
    <s v="SNP"/>
    <x v="0"/>
    <x v="0"/>
    <n v="0"/>
    <s v="APPR"/>
    <x v="1"/>
    <x v="0"/>
    <x v="0"/>
    <x v="0"/>
    <m/>
    <x v="1"/>
    <x v="1"/>
    <s v="Resolved"/>
    <n v="4.3099999999999996"/>
    <n v="438"/>
    <n v="1887.78"/>
    <n v="46268.655147939811"/>
    <x v="1"/>
  </r>
  <r>
    <n v="1000004368"/>
    <s v="Hennepin Cty Dept of Community Corrections &amp; Rehabilitation"/>
    <n v="1000003180"/>
    <x v="13"/>
    <s v="SNP"/>
    <x v="0"/>
    <x v="0"/>
    <n v="0"/>
    <s v="APPR"/>
    <x v="1"/>
    <x v="0"/>
    <x v="1"/>
    <x v="0"/>
    <m/>
    <x v="1"/>
    <x v="2"/>
    <s v="Resolved"/>
    <n v="0.09"/>
    <n v="438"/>
    <n v="39.42"/>
    <n v="46268.655147939811"/>
    <x v="2"/>
  </r>
  <r>
    <n v="1000004368"/>
    <s v="Hennepin Cty Dept of Community Corrections &amp; Rehabilitation"/>
    <n v="1000003180"/>
    <x v="13"/>
    <s v="SNP"/>
    <x v="0"/>
    <x v="0"/>
    <n v="0"/>
    <s v="APPR"/>
    <x v="1"/>
    <x v="0"/>
    <x v="2"/>
    <x v="0"/>
    <m/>
    <x v="1"/>
    <x v="3"/>
    <s v="Resolved"/>
    <n v="0.47"/>
    <n v="438"/>
    <n v="205.86"/>
    <n v="46268.655147939811"/>
    <x v="1"/>
  </r>
  <r>
    <n v="1000004368"/>
    <s v="Hennepin Cty Dept of Community Corrections &amp; Rehabilitation"/>
    <n v="1000003180"/>
    <x v="13"/>
    <s v="SNP"/>
    <x v="0"/>
    <x v="0"/>
    <n v="0"/>
    <s v="APPR"/>
    <x v="1"/>
    <x v="0"/>
    <x v="0"/>
    <x v="1"/>
    <m/>
    <x v="2"/>
    <x v="0"/>
    <s v="Resolved"/>
    <n v="0.125"/>
    <n v="438"/>
    <n v="54.75"/>
    <n v="46268.655147939811"/>
    <x v="3"/>
  </r>
  <r>
    <n v="1000003806"/>
    <s v="Hill City ISD #2"/>
    <n v="1000001232"/>
    <x v="14"/>
    <s v="SNP"/>
    <x v="0"/>
    <x v="0"/>
    <n v="0"/>
    <s v="APPR"/>
    <x v="0"/>
    <x v="0"/>
    <x v="0"/>
    <x v="0"/>
    <m/>
    <x v="0"/>
    <x v="0"/>
    <s v="Resolved"/>
    <n v="3.05"/>
    <n v="10"/>
    <n v="30.5"/>
    <n v="46268.655147939811"/>
    <x v="0"/>
  </r>
  <r>
    <n v="1000003806"/>
    <s v="Hill City ISD #2"/>
    <n v="1000001232"/>
    <x v="14"/>
    <s v="SNP"/>
    <x v="0"/>
    <x v="0"/>
    <n v="0"/>
    <s v="APPR"/>
    <x v="0"/>
    <x v="0"/>
    <x v="3"/>
    <x v="0"/>
    <m/>
    <x v="0"/>
    <x v="0"/>
    <s v="Resolved"/>
    <n v="2.75"/>
    <n v="4"/>
    <n v="11"/>
    <n v="46268.655147939811"/>
    <x v="0"/>
  </r>
  <r>
    <n v="1000003806"/>
    <s v="Hill City ISD #2"/>
    <n v="1000001232"/>
    <x v="14"/>
    <s v="SNP"/>
    <x v="0"/>
    <x v="0"/>
    <n v="0"/>
    <s v="APPR"/>
    <x v="0"/>
    <x v="0"/>
    <x v="4"/>
    <x v="0"/>
    <m/>
    <x v="0"/>
    <x v="0"/>
    <s v="Resolved"/>
    <n v="0.42"/>
    <n v="2"/>
    <n v="0.84"/>
    <n v="46268.655147939811"/>
    <x v="0"/>
  </r>
  <r>
    <n v="1000003806"/>
    <s v="Hill City ISD #2"/>
    <n v="1000001232"/>
    <x v="14"/>
    <s v="SNP"/>
    <x v="0"/>
    <x v="0"/>
    <n v="0"/>
    <s v="APPR"/>
    <x v="1"/>
    <x v="0"/>
    <x v="0"/>
    <x v="0"/>
    <m/>
    <x v="1"/>
    <x v="1"/>
    <s v="Resolved"/>
    <n v="4.3099999999999996"/>
    <n v="14"/>
    <n v="60.34"/>
    <n v="46268.655147939811"/>
    <x v="5"/>
  </r>
  <r>
    <n v="1000003806"/>
    <s v="Hill City ISD #2"/>
    <n v="1000001232"/>
    <x v="14"/>
    <s v="SNP"/>
    <x v="0"/>
    <x v="0"/>
    <n v="0"/>
    <s v="APPR"/>
    <x v="1"/>
    <x v="0"/>
    <x v="1"/>
    <x v="0"/>
    <m/>
    <x v="1"/>
    <x v="2"/>
    <s v="Resolved"/>
    <n v="0.09"/>
    <n v="20"/>
    <n v="1.8"/>
    <n v="46268.655147939811"/>
    <x v="2"/>
  </r>
  <r>
    <n v="1000003806"/>
    <s v="Hill City ISD #2"/>
    <n v="1000001232"/>
    <x v="14"/>
    <s v="SNP"/>
    <x v="0"/>
    <x v="0"/>
    <n v="0"/>
    <s v="APPR"/>
    <x v="1"/>
    <x v="0"/>
    <x v="3"/>
    <x v="0"/>
    <m/>
    <x v="1"/>
    <x v="1"/>
    <s v="Resolved"/>
    <n v="3.91"/>
    <n v="4"/>
    <n v="15.64"/>
    <n v="46268.655147939811"/>
    <x v="5"/>
  </r>
  <r>
    <n v="1000003806"/>
    <s v="Hill City ISD #2"/>
    <n v="1000001232"/>
    <x v="14"/>
    <s v="SNP"/>
    <x v="0"/>
    <x v="0"/>
    <n v="0"/>
    <s v="APPR"/>
    <x v="1"/>
    <x v="0"/>
    <x v="2"/>
    <x v="0"/>
    <m/>
    <x v="1"/>
    <x v="3"/>
    <s v="Resolved"/>
    <n v="0.45"/>
    <n v="20"/>
    <n v="9"/>
    <n v="46268.655147939811"/>
    <x v="5"/>
  </r>
  <r>
    <n v="1000003806"/>
    <s v="Hill City ISD #2"/>
    <n v="1000001232"/>
    <x v="14"/>
    <s v="SNP"/>
    <x v="0"/>
    <x v="0"/>
    <n v="0"/>
    <s v="APPR"/>
    <x v="0"/>
    <x v="0"/>
    <x v="3"/>
    <x v="1"/>
    <m/>
    <x v="3"/>
    <x v="0"/>
    <s v="Resolved"/>
    <n v="0.3"/>
    <n v="4"/>
    <n v="1.2"/>
    <n v="46268.655147939811"/>
    <x v="3"/>
  </r>
  <r>
    <n v="1000003806"/>
    <s v="Hill City ISD #2"/>
    <n v="1000001232"/>
    <x v="14"/>
    <s v="SNP"/>
    <x v="0"/>
    <x v="0"/>
    <n v="0"/>
    <s v="APPR"/>
    <x v="0"/>
    <x v="0"/>
    <x v="4"/>
    <x v="1"/>
    <m/>
    <x v="3"/>
    <x v="0"/>
    <s v="Resolved"/>
    <n v="2.63"/>
    <n v="2"/>
    <n v="5.26"/>
    <n v="46268.655147939811"/>
    <x v="6"/>
  </r>
  <r>
    <n v="1000003806"/>
    <s v="Hill City ISD #2"/>
    <n v="1000001232"/>
    <x v="14"/>
    <s v="SNP"/>
    <x v="0"/>
    <x v="0"/>
    <n v="0"/>
    <s v="APPR"/>
    <x v="1"/>
    <x v="0"/>
    <x v="0"/>
    <x v="1"/>
    <m/>
    <x v="2"/>
    <x v="0"/>
    <s v="Resolved"/>
    <n v="0.125"/>
    <n v="14"/>
    <n v="1.75"/>
    <n v="46268.655147939811"/>
    <x v="3"/>
  </r>
  <r>
    <n v="1000003806"/>
    <s v="Hill City ISD #2"/>
    <n v="1000001232"/>
    <x v="14"/>
    <s v="SNP"/>
    <x v="0"/>
    <x v="0"/>
    <n v="0"/>
    <s v="APPR"/>
    <x v="1"/>
    <x v="0"/>
    <x v="3"/>
    <x v="1"/>
    <m/>
    <x v="2"/>
    <x v="0"/>
    <s v="Resolved"/>
    <n v="0.52500000000000002"/>
    <n v="4"/>
    <n v="2.1"/>
    <n v="46268.655147939811"/>
    <x v="3"/>
  </r>
  <r>
    <n v="1000003806"/>
    <s v="Hill City ISD #2"/>
    <n v="1000001232"/>
    <x v="14"/>
    <s v="SNP"/>
    <x v="0"/>
    <x v="0"/>
    <n v="0"/>
    <s v="APPR"/>
    <x v="1"/>
    <x v="0"/>
    <x v="4"/>
    <x v="1"/>
    <m/>
    <x v="2"/>
    <x v="0"/>
    <s v="Resolved"/>
    <n v="4.4349999999999996"/>
    <n v="2"/>
    <n v="8.8699999999999992"/>
    <n v="46268.655147939811"/>
    <x v="3"/>
  </r>
  <r>
    <n v="1000003878"/>
    <s v="Hopkins Golden Valley ISD #270"/>
    <n v="9000021216"/>
    <x v="15"/>
    <s v="SNP"/>
    <x v="0"/>
    <x v="0"/>
    <n v="0"/>
    <s v="APPR"/>
    <x v="0"/>
    <x v="0"/>
    <x v="0"/>
    <x v="0"/>
    <m/>
    <x v="0"/>
    <x v="0"/>
    <s v="Resolved"/>
    <n v="3.05"/>
    <n v="42"/>
    <n v="128.1"/>
    <n v="46268.655147939811"/>
    <x v="0"/>
  </r>
  <r>
    <n v="1000003878"/>
    <s v="Hopkins Golden Valley ISD #270"/>
    <n v="9000021216"/>
    <x v="15"/>
    <s v="SNP"/>
    <x v="0"/>
    <x v="0"/>
    <n v="0"/>
    <s v="APPR"/>
    <x v="0"/>
    <x v="0"/>
    <x v="3"/>
    <x v="0"/>
    <m/>
    <x v="0"/>
    <x v="0"/>
    <s v="Resolved"/>
    <n v="2.75"/>
    <n v="7"/>
    <n v="19.25"/>
    <n v="46268.655147939811"/>
    <x v="0"/>
  </r>
  <r>
    <n v="1000003878"/>
    <s v="Hopkins Golden Valley ISD #270"/>
    <n v="9000021216"/>
    <x v="15"/>
    <s v="SNP"/>
    <x v="0"/>
    <x v="0"/>
    <n v="0"/>
    <s v="APPR"/>
    <x v="0"/>
    <x v="0"/>
    <x v="4"/>
    <x v="0"/>
    <m/>
    <x v="0"/>
    <x v="0"/>
    <s v="Resolved"/>
    <n v="0.42"/>
    <n v="19"/>
    <n v="7.98"/>
    <n v="46268.655147939811"/>
    <x v="0"/>
  </r>
  <r>
    <n v="1000003878"/>
    <s v="Hopkins Golden Valley ISD #270"/>
    <n v="9000021216"/>
    <x v="15"/>
    <s v="SNP"/>
    <x v="0"/>
    <x v="0"/>
    <n v="0"/>
    <s v="APPR"/>
    <x v="1"/>
    <x v="0"/>
    <x v="0"/>
    <x v="0"/>
    <m/>
    <x v="1"/>
    <x v="1"/>
    <s v="Resolved"/>
    <n v="4.3099999999999996"/>
    <n v="44"/>
    <n v="189.64"/>
    <n v="46268.655147939811"/>
    <x v="5"/>
  </r>
  <r>
    <n v="1000003878"/>
    <s v="Hopkins Golden Valley ISD #270"/>
    <n v="9000021216"/>
    <x v="15"/>
    <s v="SNP"/>
    <x v="0"/>
    <x v="0"/>
    <n v="0"/>
    <s v="APPR"/>
    <x v="1"/>
    <x v="0"/>
    <x v="1"/>
    <x v="0"/>
    <m/>
    <x v="1"/>
    <x v="2"/>
    <s v="Resolved"/>
    <n v="0.09"/>
    <n v="71"/>
    <n v="6.39"/>
    <n v="46268.655147939811"/>
    <x v="2"/>
  </r>
  <r>
    <n v="1000003878"/>
    <s v="Hopkins Golden Valley ISD #270"/>
    <n v="9000021216"/>
    <x v="15"/>
    <s v="SNP"/>
    <x v="0"/>
    <x v="0"/>
    <n v="0"/>
    <s v="APPR"/>
    <x v="1"/>
    <x v="0"/>
    <x v="3"/>
    <x v="0"/>
    <m/>
    <x v="1"/>
    <x v="1"/>
    <s v="Resolved"/>
    <n v="3.91"/>
    <n v="7"/>
    <n v="27.37"/>
    <n v="46268.655147939811"/>
    <x v="5"/>
  </r>
  <r>
    <n v="1000003878"/>
    <s v="Hopkins Golden Valley ISD #270"/>
    <n v="9000021216"/>
    <x v="15"/>
    <s v="SNP"/>
    <x v="0"/>
    <x v="0"/>
    <n v="0"/>
    <s v="APPR"/>
    <x v="1"/>
    <x v="0"/>
    <x v="2"/>
    <x v="0"/>
    <m/>
    <x v="1"/>
    <x v="3"/>
    <s v="Resolved"/>
    <n v="0.45"/>
    <n v="71"/>
    <n v="31.95"/>
    <n v="46268.655147939811"/>
    <x v="5"/>
  </r>
  <r>
    <n v="1000003878"/>
    <s v="Hopkins Golden Valley ISD #270"/>
    <n v="9000021216"/>
    <x v="15"/>
    <s v="SNP"/>
    <x v="0"/>
    <x v="0"/>
    <n v="0"/>
    <s v="APPR"/>
    <x v="0"/>
    <x v="0"/>
    <x v="3"/>
    <x v="1"/>
    <m/>
    <x v="3"/>
    <x v="0"/>
    <s v="Resolved"/>
    <n v="0.3"/>
    <n v="7"/>
    <n v="2.1"/>
    <n v="46268.655147939811"/>
    <x v="3"/>
  </r>
  <r>
    <n v="1000003878"/>
    <s v="Hopkins Golden Valley ISD #270"/>
    <n v="9000021216"/>
    <x v="15"/>
    <s v="SNP"/>
    <x v="0"/>
    <x v="0"/>
    <n v="0"/>
    <s v="APPR"/>
    <x v="0"/>
    <x v="0"/>
    <x v="4"/>
    <x v="1"/>
    <m/>
    <x v="3"/>
    <x v="0"/>
    <s v="Resolved"/>
    <n v="2.63"/>
    <n v="19"/>
    <n v="49.97"/>
    <n v="46268.655147939811"/>
    <x v="6"/>
  </r>
  <r>
    <n v="1000003878"/>
    <s v="Hopkins Golden Valley ISD #270"/>
    <n v="9000021216"/>
    <x v="15"/>
    <s v="SNP"/>
    <x v="0"/>
    <x v="0"/>
    <n v="0"/>
    <s v="APPR"/>
    <x v="1"/>
    <x v="0"/>
    <x v="0"/>
    <x v="1"/>
    <m/>
    <x v="2"/>
    <x v="0"/>
    <s v="Resolved"/>
    <n v="0.125"/>
    <n v="44"/>
    <n v="5.5"/>
    <n v="46268.655147939811"/>
    <x v="3"/>
  </r>
  <r>
    <n v="1000003878"/>
    <s v="Hopkins Golden Valley ISD #270"/>
    <n v="9000021216"/>
    <x v="15"/>
    <s v="SNP"/>
    <x v="0"/>
    <x v="0"/>
    <n v="0"/>
    <s v="APPR"/>
    <x v="1"/>
    <x v="0"/>
    <x v="3"/>
    <x v="1"/>
    <m/>
    <x v="2"/>
    <x v="0"/>
    <s v="Resolved"/>
    <n v="0.52500000000000002"/>
    <n v="7"/>
    <n v="3.67"/>
    <n v="46268.655147939811"/>
    <x v="3"/>
  </r>
  <r>
    <n v="1000003878"/>
    <s v="Hopkins Golden Valley ISD #270"/>
    <n v="9000021216"/>
    <x v="15"/>
    <s v="SNP"/>
    <x v="0"/>
    <x v="0"/>
    <n v="0"/>
    <s v="APPR"/>
    <x v="1"/>
    <x v="0"/>
    <x v="4"/>
    <x v="1"/>
    <m/>
    <x v="2"/>
    <x v="0"/>
    <s v="Resolved"/>
    <n v="4.4349999999999996"/>
    <n v="20"/>
    <n v="88.7"/>
    <n v="46268.655147939811"/>
    <x v="3"/>
  </r>
  <r>
    <n v="1000004357"/>
    <s v="Leo A Hoffmann Center"/>
    <n v="1000006278"/>
    <x v="16"/>
    <s v="SNP"/>
    <x v="0"/>
    <x v="0"/>
    <n v="0"/>
    <s v="APPR"/>
    <x v="0"/>
    <x v="0"/>
    <x v="0"/>
    <x v="0"/>
    <m/>
    <x v="0"/>
    <x v="0"/>
    <s v="Resolved"/>
    <n v="3.05"/>
    <n v="628"/>
    <n v="1915.4"/>
    <n v="46268.655147939811"/>
    <x v="0"/>
  </r>
  <r>
    <n v="1000004357"/>
    <s v="Leo A Hoffmann Center"/>
    <n v="1000006278"/>
    <x v="16"/>
    <s v="SNP"/>
    <x v="0"/>
    <x v="0"/>
    <n v="0"/>
    <s v="APPR"/>
    <x v="1"/>
    <x v="0"/>
    <x v="0"/>
    <x v="0"/>
    <m/>
    <x v="1"/>
    <x v="1"/>
    <s v="Resolved"/>
    <n v="4.3099999999999996"/>
    <n v="618"/>
    <n v="2663.58"/>
    <n v="46268.655147939811"/>
    <x v="1"/>
  </r>
  <r>
    <n v="1000004357"/>
    <s v="Leo A Hoffmann Center"/>
    <n v="1000006278"/>
    <x v="16"/>
    <s v="SNP"/>
    <x v="0"/>
    <x v="0"/>
    <n v="0"/>
    <s v="APPR"/>
    <x v="1"/>
    <x v="0"/>
    <x v="1"/>
    <x v="0"/>
    <m/>
    <x v="1"/>
    <x v="2"/>
    <s v="Resolved"/>
    <n v="0.09"/>
    <n v="618"/>
    <n v="55.62"/>
    <n v="46268.655147939811"/>
    <x v="2"/>
  </r>
  <r>
    <n v="1000004357"/>
    <s v="Leo A Hoffmann Center"/>
    <n v="1000006278"/>
    <x v="16"/>
    <s v="SNP"/>
    <x v="0"/>
    <x v="0"/>
    <n v="0"/>
    <s v="APPR"/>
    <x v="1"/>
    <x v="0"/>
    <x v="2"/>
    <x v="0"/>
    <m/>
    <x v="1"/>
    <x v="3"/>
    <s v="Resolved"/>
    <n v="0.47"/>
    <n v="618"/>
    <n v="290.45999999999998"/>
    <n v="46268.655147939811"/>
    <x v="1"/>
  </r>
  <r>
    <n v="1000004357"/>
    <s v="Leo A Hoffmann Center"/>
    <n v="1000006278"/>
    <x v="16"/>
    <s v="SNP"/>
    <x v="0"/>
    <x v="0"/>
    <n v="0"/>
    <s v="APPR"/>
    <x v="1"/>
    <x v="0"/>
    <x v="0"/>
    <x v="1"/>
    <m/>
    <x v="2"/>
    <x v="0"/>
    <s v="Resolved"/>
    <n v="0.125"/>
    <n v="618"/>
    <n v="77.25"/>
    <n v="46268.655147939811"/>
    <x v="3"/>
  </r>
  <r>
    <n v="1000004135"/>
    <s v="Metro Deaf School"/>
    <n v="1000002810"/>
    <x v="17"/>
    <s v="SNP"/>
    <x v="0"/>
    <x v="0"/>
    <n v="0"/>
    <s v="APPR"/>
    <x v="0"/>
    <x v="0"/>
    <x v="0"/>
    <x v="0"/>
    <m/>
    <x v="0"/>
    <x v="0"/>
    <s v="Resolved"/>
    <n v="3.05"/>
    <n v="51"/>
    <n v="155.55000000000001"/>
    <n v="46268.655147939811"/>
    <x v="0"/>
  </r>
  <r>
    <n v="1000004135"/>
    <s v="Metro Deaf School"/>
    <n v="1000002810"/>
    <x v="17"/>
    <s v="SNP"/>
    <x v="0"/>
    <x v="0"/>
    <n v="0"/>
    <s v="APPR"/>
    <x v="0"/>
    <x v="0"/>
    <x v="3"/>
    <x v="0"/>
    <m/>
    <x v="0"/>
    <x v="0"/>
    <s v="Resolved"/>
    <n v="2.75"/>
    <n v="21"/>
    <n v="57.75"/>
    <n v="46268.655147939811"/>
    <x v="0"/>
  </r>
  <r>
    <n v="1000004135"/>
    <s v="Metro Deaf School"/>
    <n v="1000002810"/>
    <x v="17"/>
    <s v="SNP"/>
    <x v="0"/>
    <x v="0"/>
    <n v="0"/>
    <s v="APPR"/>
    <x v="0"/>
    <x v="0"/>
    <x v="4"/>
    <x v="0"/>
    <m/>
    <x v="0"/>
    <x v="0"/>
    <s v="Resolved"/>
    <n v="0.42"/>
    <n v="147"/>
    <n v="61.74"/>
    <n v="46268.655147939811"/>
    <x v="0"/>
  </r>
  <r>
    <n v="1000004135"/>
    <s v="Metro Deaf School"/>
    <n v="1000002810"/>
    <x v="17"/>
    <s v="SNP"/>
    <x v="0"/>
    <x v="0"/>
    <n v="0"/>
    <s v="APPR"/>
    <x v="1"/>
    <x v="0"/>
    <x v="0"/>
    <x v="0"/>
    <m/>
    <x v="1"/>
    <x v="1"/>
    <s v="Resolved"/>
    <n v="4.3099999999999996"/>
    <n v="118"/>
    <n v="508.58"/>
    <n v="46268.655147939811"/>
    <x v="5"/>
  </r>
  <r>
    <n v="1000004135"/>
    <s v="Metro Deaf School"/>
    <n v="1000002810"/>
    <x v="17"/>
    <s v="SNP"/>
    <x v="0"/>
    <x v="0"/>
    <n v="0"/>
    <s v="APPR"/>
    <x v="1"/>
    <x v="0"/>
    <x v="1"/>
    <x v="0"/>
    <m/>
    <x v="1"/>
    <x v="2"/>
    <s v="Resolved"/>
    <n v="0.09"/>
    <n v="366"/>
    <n v="32.94"/>
    <n v="46268.655147939811"/>
    <x v="2"/>
  </r>
  <r>
    <n v="1000004135"/>
    <s v="Metro Deaf School"/>
    <n v="1000002810"/>
    <x v="17"/>
    <s v="SNP"/>
    <x v="0"/>
    <x v="0"/>
    <n v="0"/>
    <s v="APPR"/>
    <x v="1"/>
    <x v="0"/>
    <x v="3"/>
    <x v="0"/>
    <m/>
    <x v="1"/>
    <x v="1"/>
    <s v="Resolved"/>
    <n v="3.91"/>
    <n v="40"/>
    <n v="156.4"/>
    <n v="46268.655147939811"/>
    <x v="5"/>
  </r>
  <r>
    <n v="1000004135"/>
    <s v="Metro Deaf School"/>
    <n v="1000002810"/>
    <x v="17"/>
    <s v="SNP"/>
    <x v="0"/>
    <x v="0"/>
    <n v="0"/>
    <s v="APPR"/>
    <x v="1"/>
    <x v="0"/>
    <x v="2"/>
    <x v="0"/>
    <m/>
    <x v="1"/>
    <x v="3"/>
    <s v="Resolved"/>
    <n v="0.45"/>
    <n v="366"/>
    <n v="164.7"/>
    <n v="46268.655147939811"/>
    <x v="5"/>
  </r>
  <r>
    <n v="1000004135"/>
    <s v="Metro Deaf School"/>
    <n v="1000002810"/>
    <x v="17"/>
    <s v="SNP"/>
    <x v="0"/>
    <x v="0"/>
    <n v="0"/>
    <s v="APPR"/>
    <x v="0"/>
    <x v="0"/>
    <x v="3"/>
    <x v="1"/>
    <m/>
    <x v="3"/>
    <x v="0"/>
    <s v="Resolved"/>
    <n v="0.3"/>
    <n v="21"/>
    <n v="6.3"/>
    <n v="46268.655147939811"/>
    <x v="3"/>
  </r>
  <r>
    <n v="1000004135"/>
    <s v="Metro Deaf School"/>
    <n v="1000002810"/>
    <x v="17"/>
    <s v="SNP"/>
    <x v="0"/>
    <x v="0"/>
    <n v="0"/>
    <s v="APPR"/>
    <x v="0"/>
    <x v="0"/>
    <x v="4"/>
    <x v="1"/>
    <m/>
    <x v="3"/>
    <x v="0"/>
    <s v="Resolved"/>
    <n v="2.63"/>
    <n v="147"/>
    <n v="386.61"/>
    <n v="46268.655147939811"/>
    <x v="6"/>
  </r>
  <r>
    <n v="1000004135"/>
    <s v="Metro Deaf School"/>
    <n v="1000002810"/>
    <x v="17"/>
    <s v="SNP"/>
    <x v="0"/>
    <x v="0"/>
    <n v="0"/>
    <s v="APPR"/>
    <x v="0"/>
    <x v="1"/>
    <x v="4"/>
    <x v="1"/>
    <m/>
    <x v="3"/>
    <x v="0"/>
    <s v="Resolved"/>
    <n v="0"/>
    <n v="11"/>
    <n v="0"/>
    <n v="46268.655147939811"/>
    <x v="9"/>
  </r>
  <r>
    <n v="1000004135"/>
    <s v="Metro Deaf School"/>
    <n v="1000002810"/>
    <x v="17"/>
    <s v="SNP"/>
    <x v="0"/>
    <x v="0"/>
    <n v="0"/>
    <s v="APPR"/>
    <x v="1"/>
    <x v="0"/>
    <x v="0"/>
    <x v="1"/>
    <m/>
    <x v="2"/>
    <x v="0"/>
    <s v="Resolved"/>
    <n v="0.125"/>
    <n v="118"/>
    <n v="14.75"/>
    <n v="46268.655147939811"/>
    <x v="3"/>
  </r>
  <r>
    <n v="1000004135"/>
    <s v="Metro Deaf School"/>
    <n v="1000002810"/>
    <x v="17"/>
    <s v="SNP"/>
    <x v="0"/>
    <x v="0"/>
    <n v="0"/>
    <s v="APPR"/>
    <x v="1"/>
    <x v="0"/>
    <x v="3"/>
    <x v="1"/>
    <m/>
    <x v="2"/>
    <x v="0"/>
    <s v="Resolved"/>
    <n v="0.52500000000000002"/>
    <n v="40"/>
    <n v="21"/>
    <n v="46268.655147939811"/>
    <x v="3"/>
  </r>
  <r>
    <n v="1000004135"/>
    <s v="Metro Deaf School"/>
    <n v="1000002810"/>
    <x v="17"/>
    <s v="SNP"/>
    <x v="0"/>
    <x v="0"/>
    <n v="0"/>
    <s v="APPR"/>
    <x v="1"/>
    <x v="0"/>
    <x v="4"/>
    <x v="1"/>
    <m/>
    <x v="2"/>
    <x v="0"/>
    <s v="Resolved"/>
    <n v="4.4349999999999996"/>
    <n v="208"/>
    <n v="922.48"/>
    <n v="46268.655147939811"/>
    <x v="3"/>
  </r>
  <r>
    <n v="1000004384"/>
    <s v="Minnesota State Academies for the Deaf &amp; Blind"/>
    <n v="1000003242"/>
    <x v="18"/>
    <s v="SNP"/>
    <x v="0"/>
    <x v="0"/>
    <n v="0"/>
    <s v="APPR"/>
    <x v="0"/>
    <x v="0"/>
    <x v="0"/>
    <x v="0"/>
    <m/>
    <x v="0"/>
    <x v="0"/>
    <s v="Resolved"/>
    <n v="3.05"/>
    <n v="322"/>
    <n v="982.1"/>
    <n v="46268.655147939811"/>
    <x v="0"/>
  </r>
  <r>
    <n v="1000004384"/>
    <s v="Minnesota State Academies for the Deaf &amp; Blind"/>
    <n v="1000003242"/>
    <x v="18"/>
    <s v="SNP"/>
    <x v="0"/>
    <x v="0"/>
    <n v="0"/>
    <s v="APPR"/>
    <x v="0"/>
    <x v="0"/>
    <x v="3"/>
    <x v="0"/>
    <m/>
    <x v="0"/>
    <x v="0"/>
    <s v="Resolved"/>
    <n v="2.75"/>
    <n v="10"/>
    <n v="27.5"/>
    <n v="46268.655147939811"/>
    <x v="0"/>
  </r>
  <r>
    <n v="1000004384"/>
    <s v="Minnesota State Academies for the Deaf &amp; Blind"/>
    <n v="1000003242"/>
    <x v="18"/>
    <s v="SNP"/>
    <x v="0"/>
    <x v="0"/>
    <n v="0"/>
    <s v="APPR"/>
    <x v="0"/>
    <x v="0"/>
    <x v="4"/>
    <x v="0"/>
    <m/>
    <x v="0"/>
    <x v="0"/>
    <s v="Resolved"/>
    <n v="0.42"/>
    <n v="94"/>
    <n v="39.479999999999997"/>
    <n v="46268.655147939811"/>
    <x v="0"/>
  </r>
  <r>
    <n v="1000004384"/>
    <s v="Minnesota State Academies for the Deaf &amp; Blind"/>
    <n v="1000003242"/>
    <x v="18"/>
    <s v="SNP"/>
    <x v="0"/>
    <x v="0"/>
    <n v="0"/>
    <s v="APPR"/>
    <x v="1"/>
    <x v="0"/>
    <x v="0"/>
    <x v="0"/>
    <m/>
    <x v="1"/>
    <x v="1"/>
    <s v="Resolved"/>
    <n v="4.3099999999999996"/>
    <n v="383"/>
    <n v="1650.73"/>
    <n v="46268.655147939811"/>
    <x v="1"/>
  </r>
  <r>
    <n v="1000004384"/>
    <s v="Minnesota State Academies for the Deaf &amp; Blind"/>
    <n v="1000003242"/>
    <x v="18"/>
    <s v="SNP"/>
    <x v="0"/>
    <x v="0"/>
    <n v="0"/>
    <s v="APPR"/>
    <x v="1"/>
    <x v="0"/>
    <x v="1"/>
    <x v="0"/>
    <m/>
    <x v="1"/>
    <x v="2"/>
    <s v="Resolved"/>
    <n v="0.09"/>
    <n v="551"/>
    <n v="49.59"/>
    <n v="46268.655147939811"/>
    <x v="2"/>
  </r>
  <r>
    <n v="1000004384"/>
    <s v="Minnesota State Academies for the Deaf &amp; Blind"/>
    <n v="1000003242"/>
    <x v="18"/>
    <s v="SNP"/>
    <x v="0"/>
    <x v="0"/>
    <n v="0"/>
    <s v="APPR"/>
    <x v="1"/>
    <x v="0"/>
    <x v="3"/>
    <x v="0"/>
    <m/>
    <x v="1"/>
    <x v="1"/>
    <s v="Resolved"/>
    <n v="3.91"/>
    <n v="10"/>
    <n v="39.1"/>
    <n v="46268.655147939811"/>
    <x v="1"/>
  </r>
  <r>
    <n v="1000004384"/>
    <s v="Minnesota State Academies for the Deaf &amp; Blind"/>
    <n v="1000003242"/>
    <x v="18"/>
    <s v="SNP"/>
    <x v="0"/>
    <x v="0"/>
    <n v="0"/>
    <s v="APPR"/>
    <x v="1"/>
    <x v="0"/>
    <x v="2"/>
    <x v="0"/>
    <m/>
    <x v="1"/>
    <x v="3"/>
    <s v="Resolved"/>
    <n v="0.47"/>
    <n v="551"/>
    <n v="258.97000000000003"/>
    <n v="46268.655147939811"/>
    <x v="1"/>
  </r>
  <r>
    <n v="1000004384"/>
    <s v="Minnesota State Academies for the Deaf &amp; Blind"/>
    <n v="1000003242"/>
    <x v="18"/>
    <s v="SNP"/>
    <x v="0"/>
    <x v="0"/>
    <n v="0"/>
    <s v="APPR"/>
    <x v="0"/>
    <x v="0"/>
    <x v="3"/>
    <x v="1"/>
    <m/>
    <x v="3"/>
    <x v="0"/>
    <s v="Resolved"/>
    <n v="0.3"/>
    <n v="10"/>
    <n v="3"/>
    <n v="46268.655147939811"/>
    <x v="3"/>
  </r>
  <r>
    <n v="1000004384"/>
    <s v="Minnesota State Academies for the Deaf &amp; Blind"/>
    <n v="1000003242"/>
    <x v="18"/>
    <s v="SNP"/>
    <x v="0"/>
    <x v="0"/>
    <n v="0"/>
    <s v="APPR"/>
    <x v="0"/>
    <x v="0"/>
    <x v="4"/>
    <x v="1"/>
    <m/>
    <x v="3"/>
    <x v="0"/>
    <s v="Resolved"/>
    <n v="2.63"/>
    <n v="94"/>
    <n v="247.22"/>
    <n v="46268.655147939811"/>
    <x v="6"/>
  </r>
  <r>
    <n v="1000004384"/>
    <s v="Minnesota State Academies for the Deaf &amp; Blind"/>
    <n v="1000003242"/>
    <x v="18"/>
    <s v="SNP"/>
    <x v="0"/>
    <x v="0"/>
    <n v="0"/>
    <s v="APPR"/>
    <x v="1"/>
    <x v="0"/>
    <x v="0"/>
    <x v="1"/>
    <m/>
    <x v="2"/>
    <x v="0"/>
    <s v="Resolved"/>
    <n v="0.125"/>
    <n v="383"/>
    <n v="47.87"/>
    <n v="46268.655147939811"/>
    <x v="3"/>
  </r>
  <r>
    <n v="1000004384"/>
    <s v="Minnesota State Academies for the Deaf &amp; Blind"/>
    <n v="1000003242"/>
    <x v="18"/>
    <s v="SNP"/>
    <x v="0"/>
    <x v="0"/>
    <n v="0"/>
    <s v="APPR"/>
    <x v="1"/>
    <x v="0"/>
    <x v="3"/>
    <x v="1"/>
    <m/>
    <x v="2"/>
    <x v="0"/>
    <s v="Resolved"/>
    <n v="0.52500000000000002"/>
    <n v="10"/>
    <n v="5.25"/>
    <n v="46268.655147939811"/>
    <x v="3"/>
  </r>
  <r>
    <n v="1000004384"/>
    <s v="Minnesota State Academies for the Deaf &amp; Blind"/>
    <n v="1000003242"/>
    <x v="18"/>
    <s v="SNP"/>
    <x v="0"/>
    <x v="0"/>
    <n v="0"/>
    <s v="APPR"/>
    <x v="1"/>
    <x v="0"/>
    <x v="4"/>
    <x v="1"/>
    <m/>
    <x v="2"/>
    <x v="0"/>
    <s v="Resolved"/>
    <n v="4.4349999999999996"/>
    <n v="158"/>
    <n v="700.73"/>
    <n v="46268.655147939811"/>
    <x v="3"/>
  </r>
  <r>
    <n v="1000004384"/>
    <s v="Minnesota State Academies for the Deaf &amp; Blind"/>
    <n v="1000003245"/>
    <x v="19"/>
    <s v="SNP"/>
    <x v="0"/>
    <x v="0"/>
    <n v="0"/>
    <s v="APPR"/>
    <x v="0"/>
    <x v="0"/>
    <x v="0"/>
    <x v="0"/>
    <m/>
    <x v="0"/>
    <x v="0"/>
    <s v="Resolved"/>
    <n v="3.05"/>
    <n v="271"/>
    <n v="826.55"/>
    <n v="46268.655147939811"/>
    <x v="0"/>
  </r>
  <r>
    <n v="1000004384"/>
    <s v="Minnesota State Academies for the Deaf &amp; Blind"/>
    <n v="1000003245"/>
    <x v="19"/>
    <s v="SNP"/>
    <x v="0"/>
    <x v="0"/>
    <n v="0"/>
    <s v="APPR"/>
    <x v="0"/>
    <x v="0"/>
    <x v="4"/>
    <x v="0"/>
    <m/>
    <x v="0"/>
    <x v="0"/>
    <s v="Resolved"/>
    <n v="0.42"/>
    <n v="105"/>
    <n v="44.1"/>
    <n v="46268.655147939811"/>
    <x v="0"/>
  </r>
  <r>
    <n v="1000004384"/>
    <s v="Minnesota State Academies for the Deaf &amp; Blind"/>
    <n v="1000003245"/>
    <x v="19"/>
    <s v="SNP"/>
    <x v="0"/>
    <x v="0"/>
    <n v="0"/>
    <s v="APPR"/>
    <x v="1"/>
    <x v="0"/>
    <x v="0"/>
    <x v="0"/>
    <m/>
    <x v="1"/>
    <x v="1"/>
    <s v="Resolved"/>
    <n v="4.3099999999999996"/>
    <n v="362"/>
    <n v="1560.22"/>
    <n v="46268.655147939811"/>
    <x v="1"/>
  </r>
  <r>
    <n v="1000004384"/>
    <s v="Minnesota State Academies for the Deaf &amp; Blind"/>
    <n v="1000003245"/>
    <x v="19"/>
    <s v="SNP"/>
    <x v="0"/>
    <x v="0"/>
    <n v="0"/>
    <s v="APPR"/>
    <x v="1"/>
    <x v="0"/>
    <x v="1"/>
    <x v="0"/>
    <m/>
    <x v="1"/>
    <x v="2"/>
    <s v="Resolved"/>
    <n v="0.09"/>
    <n v="624"/>
    <n v="56.16"/>
    <n v="46268.655147939811"/>
    <x v="2"/>
  </r>
  <r>
    <n v="1000004384"/>
    <s v="Minnesota State Academies for the Deaf &amp; Blind"/>
    <n v="1000003245"/>
    <x v="19"/>
    <s v="SNP"/>
    <x v="0"/>
    <x v="0"/>
    <n v="0"/>
    <s v="APPR"/>
    <x v="1"/>
    <x v="0"/>
    <x v="3"/>
    <x v="0"/>
    <m/>
    <x v="1"/>
    <x v="1"/>
    <s v="Resolved"/>
    <n v="3.91"/>
    <n v="24"/>
    <n v="93.84"/>
    <n v="46268.655147939811"/>
    <x v="1"/>
  </r>
  <r>
    <n v="1000004384"/>
    <s v="Minnesota State Academies for the Deaf &amp; Blind"/>
    <n v="1000003245"/>
    <x v="19"/>
    <s v="SNP"/>
    <x v="0"/>
    <x v="0"/>
    <n v="0"/>
    <s v="APPR"/>
    <x v="1"/>
    <x v="0"/>
    <x v="2"/>
    <x v="0"/>
    <m/>
    <x v="1"/>
    <x v="3"/>
    <s v="Resolved"/>
    <n v="0.47"/>
    <n v="624"/>
    <n v="293.27999999999997"/>
    <n v="46268.655147939811"/>
    <x v="1"/>
  </r>
  <r>
    <n v="1000004384"/>
    <s v="Minnesota State Academies for the Deaf &amp; Blind"/>
    <n v="1000003245"/>
    <x v="19"/>
    <s v="SNP"/>
    <x v="0"/>
    <x v="0"/>
    <n v="0"/>
    <s v="APPR"/>
    <x v="0"/>
    <x v="0"/>
    <x v="4"/>
    <x v="1"/>
    <m/>
    <x v="3"/>
    <x v="0"/>
    <s v="Resolved"/>
    <n v="2.63"/>
    <n v="105"/>
    <n v="276.14999999999998"/>
    <n v="46268.655147939811"/>
    <x v="6"/>
  </r>
  <r>
    <n v="1000004384"/>
    <s v="Minnesota State Academies for the Deaf &amp; Blind"/>
    <n v="1000003245"/>
    <x v="19"/>
    <s v="SNP"/>
    <x v="0"/>
    <x v="0"/>
    <n v="0"/>
    <s v="APPR"/>
    <x v="1"/>
    <x v="0"/>
    <x v="0"/>
    <x v="1"/>
    <m/>
    <x v="2"/>
    <x v="0"/>
    <s v="Resolved"/>
    <n v="0.125"/>
    <n v="362"/>
    <n v="45.25"/>
    <n v="46268.655147939811"/>
    <x v="3"/>
  </r>
  <r>
    <n v="1000004384"/>
    <s v="Minnesota State Academies for the Deaf &amp; Blind"/>
    <n v="1000003245"/>
    <x v="19"/>
    <s v="SNP"/>
    <x v="0"/>
    <x v="0"/>
    <n v="0"/>
    <s v="APPR"/>
    <x v="1"/>
    <x v="0"/>
    <x v="3"/>
    <x v="1"/>
    <m/>
    <x v="2"/>
    <x v="0"/>
    <s v="Resolved"/>
    <n v="0.52500000000000002"/>
    <n v="24"/>
    <n v="12.6"/>
    <n v="46268.655147939811"/>
    <x v="3"/>
  </r>
  <r>
    <n v="1000004384"/>
    <s v="Minnesota State Academies for the Deaf &amp; Blind"/>
    <n v="1000003245"/>
    <x v="19"/>
    <s v="SNP"/>
    <x v="0"/>
    <x v="0"/>
    <n v="0"/>
    <s v="APPR"/>
    <x v="1"/>
    <x v="0"/>
    <x v="4"/>
    <x v="1"/>
    <m/>
    <x v="2"/>
    <x v="0"/>
    <s v="Resolved"/>
    <n v="4.4349999999999996"/>
    <n v="238"/>
    <n v="1055.53"/>
    <n v="46268.655147939811"/>
    <x v="3"/>
  </r>
  <r>
    <n v="1000004360"/>
    <s v="MN Correctional Facility Red Wing"/>
    <n v="1000003169"/>
    <x v="20"/>
    <s v="SNP"/>
    <x v="0"/>
    <x v="0"/>
    <n v="0"/>
    <s v="APPR"/>
    <x v="0"/>
    <x v="0"/>
    <x v="0"/>
    <x v="0"/>
    <m/>
    <x v="0"/>
    <x v="0"/>
    <s v="Resolved"/>
    <n v="3.05"/>
    <n v="1647"/>
    <n v="5023.3500000000004"/>
    <n v="46268.655147939811"/>
    <x v="0"/>
  </r>
  <r>
    <n v="1000004360"/>
    <s v="MN Correctional Facility Red Wing"/>
    <n v="1000003169"/>
    <x v="20"/>
    <s v="SNP"/>
    <x v="0"/>
    <x v="0"/>
    <n v="0"/>
    <s v="APPR"/>
    <x v="1"/>
    <x v="0"/>
    <x v="0"/>
    <x v="0"/>
    <m/>
    <x v="1"/>
    <x v="1"/>
    <s v="Resolved"/>
    <n v="4.3099999999999996"/>
    <n v="1644"/>
    <n v="7085.64"/>
    <n v="46268.655147939811"/>
    <x v="1"/>
  </r>
  <r>
    <n v="1000004360"/>
    <s v="MN Correctional Facility Red Wing"/>
    <n v="1000003169"/>
    <x v="20"/>
    <s v="SNP"/>
    <x v="0"/>
    <x v="0"/>
    <n v="0"/>
    <s v="APPR"/>
    <x v="1"/>
    <x v="0"/>
    <x v="1"/>
    <x v="0"/>
    <m/>
    <x v="1"/>
    <x v="2"/>
    <s v="Resolved"/>
    <n v="0.09"/>
    <n v="1644"/>
    <n v="147.96"/>
    <n v="46268.655147939811"/>
    <x v="2"/>
  </r>
  <r>
    <n v="1000004360"/>
    <s v="MN Correctional Facility Red Wing"/>
    <n v="1000003169"/>
    <x v="20"/>
    <s v="SNP"/>
    <x v="0"/>
    <x v="0"/>
    <n v="0"/>
    <s v="APPR"/>
    <x v="1"/>
    <x v="0"/>
    <x v="2"/>
    <x v="0"/>
    <m/>
    <x v="1"/>
    <x v="3"/>
    <s v="Resolved"/>
    <n v="0.47"/>
    <n v="1644"/>
    <n v="772.68"/>
    <n v="46268.655147939811"/>
    <x v="1"/>
  </r>
  <r>
    <n v="1000004360"/>
    <s v="MN Correctional Facility Red Wing"/>
    <n v="1000003169"/>
    <x v="20"/>
    <s v="SNP"/>
    <x v="0"/>
    <x v="0"/>
    <n v="0"/>
    <s v="APPR"/>
    <x v="1"/>
    <x v="0"/>
    <x v="0"/>
    <x v="1"/>
    <m/>
    <x v="2"/>
    <x v="0"/>
    <s v="Resolved"/>
    <n v="0.125"/>
    <n v="1644"/>
    <n v="205.5"/>
    <n v="46268.655147939811"/>
    <x v="3"/>
  </r>
  <r>
    <n v="1000003724"/>
    <s v="Mounds View ISD #621"/>
    <n v="1000002006"/>
    <x v="21"/>
    <s v="SNP"/>
    <x v="0"/>
    <x v="0"/>
    <n v="0"/>
    <s v="APPR"/>
    <x v="0"/>
    <x v="0"/>
    <x v="0"/>
    <x v="0"/>
    <m/>
    <x v="0"/>
    <x v="0"/>
    <s v="Resolved"/>
    <n v="2.54"/>
    <n v="102"/>
    <n v="259.08"/>
    <n v="46268.655147939811"/>
    <x v="7"/>
  </r>
  <r>
    <n v="1000003724"/>
    <s v="Mounds View ISD #621"/>
    <n v="1000002006"/>
    <x v="21"/>
    <s v="SNP"/>
    <x v="0"/>
    <x v="0"/>
    <n v="0"/>
    <s v="APPR"/>
    <x v="0"/>
    <x v="0"/>
    <x v="3"/>
    <x v="0"/>
    <m/>
    <x v="0"/>
    <x v="0"/>
    <s v="Resolved"/>
    <n v="2.2400000000000002"/>
    <n v="35"/>
    <n v="78.400000000000006"/>
    <n v="46268.655147939811"/>
    <x v="7"/>
  </r>
  <r>
    <n v="1000003724"/>
    <s v="Mounds View ISD #621"/>
    <n v="1000002006"/>
    <x v="21"/>
    <s v="SNP"/>
    <x v="0"/>
    <x v="0"/>
    <n v="0"/>
    <s v="APPR"/>
    <x v="0"/>
    <x v="0"/>
    <x v="4"/>
    <x v="0"/>
    <m/>
    <x v="0"/>
    <x v="0"/>
    <s v="Resolved"/>
    <n v="0.42"/>
    <n v="191"/>
    <n v="80.22"/>
    <n v="46268.655147939811"/>
    <x v="7"/>
  </r>
  <r>
    <n v="1000003724"/>
    <s v="Mounds View ISD #621"/>
    <n v="1000002006"/>
    <x v="21"/>
    <s v="SNP"/>
    <x v="0"/>
    <x v="0"/>
    <n v="0"/>
    <s v="APPR"/>
    <x v="1"/>
    <x v="0"/>
    <x v="0"/>
    <x v="0"/>
    <m/>
    <x v="1"/>
    <x v="1"/>
    <s v="Resolved"/>
    <n v="4.3099999999999996"/>
    <n v="120"/>
    <n v="517.20000000000005"/>
    <n v="46268.655147939811"/>
    <x v="5"/>
  </r>
  <r>
    <n v="1000003724"/>
    <s v="Mounds View ISD #621"/>
    <n v="1000002006"/>
    <x v="21"/>
    <s v="SNP"/>
    <x v="0"/>
    <x v="0"/>
    <n v="0"/>
    <s v="APPR"/>
    <x v="1"/>
    <x v="0"/>
    <x v="1"/>
    <x v="0"/>
    <m/>
    <x v="1"/>
    <x v="2"/>
    <s v="Resolved"/>
    <n v="0.09"/>
    <n v="412"/>
    <n v="37.08"/>
    <n v="46268.655147939811"/>
    <x v="2"/>
  </r>
  <r>
    <n v="1000003724"/>
    <s v="Mounds View ISD #621"/>
    <n v="1000002006"/>
    <x v="21"/>
    <s v="SNP"/>
    <x v="0"/>
    <x v="0"/>
    <n v="0"/>
    <s v="APPR"/>
    <x v="1"/>
    <x v="0"/>
    <x v="3"/>
    <x v="0"/>
    <m/>
    <x v="1"/>
    <x v="1"/>
    <s v="Resolved"/>
    <n v="3.91"/>
    <n v="43"/>
    <n v="168.13"/>
    <n v="46268.655147939811"/>
    <x v="5"/>
  </r>
  <r>
    <n v="1000003724"/>
    <s v="Mounds View ISD #621"/>
    <n v="1000002006"/>
    <x v="21"/>
    <s v="SNP"/>
    <x v="0"/>
    <x v="0"/>
    <n v="0"/>
    <s v="APPR"/>
    <x v="1"/>
    <x v="0"/>
    <x v="2"/>
    <x v="0"/>
    <m/>
    <x v="1"/>
    <x v="3"/>
    <s v="Resolved"/>
    <n v="0.45"/>
    <n v="412"/>
    <n v="185.4"/>
    <n v="46268.655147939811"/>
    <x v="5"/>
  </r>
  <r>
    <n v="1000003724"/>
    <s v="Mounds View ISD #621"/>
    <n v="1000002006"/>
    <x v="21"/>
    <s v="SNP"/>
    <x v="0"/>
    <x v="0"/>
    <n v="0"/>
    <s v="APPR"/>
    <x v="0"/>
    <x v="0"/>
    <x v="3"/>
    <x v="1"/>
    <m/>
    <x v="3"/>
    <x v="0"/>
    <s v="Resolved"/>
    <n v="0.3"/>
    <n v="35"/>
    <n v="10.5"/>
    <n v="46268.655147939811"/>
    <x v="3"/>
  </r>
  <r>
    <n v="1000003724"/>
    <s v="Mounds View ISD #621"/>
    <n v="1000002006"/>
    <x v="21"/>
    <s v="SNP"/>
    <x v="0"/>
    <x v="0"/>
    <n v="0"/>
    <s v="APPR"/>
    <x v="0"/>
    <x v="0"/>
    <x v="4"/>
    <x v="1"/>
    <m/>
    <x v="3"/>
    <x v="0"/>
    <s v="Resolved"/>
    <n v="2.12"/>
    <n v="191"/>
    <n v="404.92"/>
    <n v="46268.655147939811"/>
    <x v="8"/>
  </r>
  <r>
    <n v="1000003724"/>
    <s v="Mounds View ISD #621"/>
    <n v="1000002006"/>
    <x v="21"/>
    <s v="SNP"/>
    <x v="0"/>
    <x v="0"/>
    <n v="0"/>
    <s v="APPR"/>
    <x v="1"/>
    <x v="0"/>
    <x v="0"/>
    <x v="1"/>
    <m/>
    <x v="2"/>
    <x v="0"/>
    <s v="Resolved"/>
    <n v="0.125"/>
    <n v="120"/>
    <n v="15"/>
    <n v="46268.655147939811"/>
    <x v="3"/>
  </r>
  <r>
    <n v="1000003724"/>
    <s v="Mounds View ISD #621"/>
    <n v="1000002006"/>
    <x v="21"/>
    <s v="SNP"/>
    <x v="0"/>
    <x v="0"/>
    <n v="0"/>
    <s v="APPR"/>
    <x v="1"/>
    <x v="0"/>
    <x v="3"/>
    <x v="1"/>
    <m/>
    <x v="2"/>
    <x v="0"/>
    <s v="Resolved"/>
    <n v="0.52500000000000002"/>
    <n v="43"/>
    <n v="22.57"/>
    <n v="46268.655147939811"/>
    <x v="3"/>
  </r>
  <r>
    <n v="1000003724"/>
    <s v="Mounds View ISD #621"/>
    <n v="1000002006"/>
    <x v="21"/>
    <s v="SNP"/>
    <x v="0"/>
    <x v="0"/>
    <n v="0"/>
    <s v="APPR"/>
    <x v="1"/>
    <x v="0"/>
    <x v="4"/>
    <x v="1"/>
    <m/>
    <x v="2"/>
    <x v="0"/>
    <s v="Resolved"/>
    <n v="4.4349999999999996"/>
    <n v="249"/>
    <n v="1104.31"/>
    <n v="46268.655147939811"/>
    <x v="3"/>
  </r>
  <r>
    <n v="1000003724"/>
    <s v="Mounds View ISD #621"/>
    <n v="1000001992"/>
    <x v="22"/>
    <s v="SNP"/>
    <x v="0"/>
    <x v="0"/>
    <n v="0"/>
    <s v="APPR"/>
    <x v="0"/>
    <x v="0"/>
    <x v="0"/>
    <x v="0"/>
    <m/>
    <x v="0"/>
    <x v="0"/>
    <s v="Resolved"/>
    <n v="2.54"/>
    <n v="205"/>
    <n v="520.70000000000005"/>
    <n v="46268.655147939811"/>
    <x v="7"/>
  </r>
  <r>
    <n v="1000003724"/>
    <s v="Mounds View ISD #621"/>
    <n v="1000001992"/>
    <x v="22"/>
    <s v="SNP"/>
    <x v="0"/>
    <x v="0"/>
    <n v="0"/>
    <s v="APPR"/>
    <x v="0"/>
    <x v="0"/>
    <x v="3"/>
    <x v="0"/>
    <m/>
    <x v="0"/>
    <x v="0"/>
    <s v="Resolved"/>
    <n v="2.2400000000000002"/>
    <n v="115"/>
    <n v="257.60000000000002"/>
    <n v="46268.655147939811"/>
    <x v="7"/>
  </r>
  <r>
    <n v="1000003724"/>
    <s v="Mounds View ISD #621"/>
    <n v="1000001992"/>
    <x v="22"/>
    <s v="SNP"/>
    <x v="0"/>
    <x v="0"/>
    <n v="0"/>
    <s v="APPR"/>
    <x v="0"/>
    <x v="0"/>
    <x v="4"/>
    <x v="0"/>
    <m/>
    <x v="0"/>
    <x v="0"/>
    <s v="Resolved"/>
    <n v="0.42"/>
    <n v="492"/>
    <n v="206.64"/>
    <n v="46268.655147939811"/>
    <x v="7"/>
  </r>
  <r>
    <n v="1000003724"/>
    <s v="Mounds View ISD #621"/>
    <n v="1000001992"/>
    <x v="22"/>
    <s v="SNP"/>
    <x v="0"/>
    <x v="0"/>
    <n v="0"/>
    <s v="APPR"/>
    <x v="1"/>
    <x v="0"/>
    <x v="0"/>
    <x v="0"/>
    <m/>
    <x v="1"/>
    <x v="1"/>
    <s v="Resolved"/>
    <n v="4.3099999999999996"/>
    <n v="224"/>
    <n v="965.44"/>
    <n v="46268.655147939811"/>
    <x v="5"/>
  </r>
  <r>
    <n v="1000003724"/>
    <s v="Mounds View ISD #621"/>
    <n v="1000001992"/>
    <x v="22"/>
    <s v="SNP"/>
    <x v="0"/>
    <x v="0"/>
    <n v="0"/>
    <s v="APPR"/>
    <x v="1"/>
    <x v="0"/>
    <x v="1"/>
    <x v="0"/>
    <m/>
    <x v="1"/>
    <x v="2"/>
    <s v="Resolved"/>
    <n v="0.09"/>
    <n v="792"/>
    <n v="71.28"/>
    <n v="46268.655147939811"/>
    <x v="2"/>
  </r>
  <r>
    <n v="1000003724"/>
    <s v="Mounds View ISD #621"/>
    <n v="1000001992"/>
    <x v="22"/>
    <s v="SNP"/>
    <x v="0"/>
    <x v="0"/>
    <n v="0"/>
    <s v="APPR"/>
    <x v="1"/>
    <x v="0"/>
    <x v="3"/>
    <x v="0"/>
    <m/>
    <x v="1"/>
    <x v="1"/>
    <s v="Resolved"/>
    <n v="3.91"/>
    <n v="109"/>
    <n v="426.19"/>
    <n v="46268.655147939811"/>
    <x v="5"/>
  </r>
  <r>
    <n v="1000003724"/>
    <s v="Mounds View ISD #621"/>
    <n v="1000001992"/>
    <x v="22"/>
    <s v="SNP"/>
    <x v="0"/>
    <x v="0"/>
    <n v="0"/>
    <s v="APPR"/>
    <x v="1"/>
    <x v="0"/>
    <x v="2"/>
    <x v="0"/>
    <m/>
    <x v="1"/>
    <x v="3"/>
    <s v="Resolved"/>
    <n v="0.45"/>
    <n v="792"/>
    <n v="356.4"/>
    <n v="46268.655147939811"/>
    <x v="5"/>
  </r>
  <r>
    <n v="1000003724"/>
    <s v="Mounds View ISD #621"/>
    <n v="1000001992"/>
    <x v="22"/>
    <s v="SNP"/>
    <x v="0"/>
    <x v="0"/>
    <n v="0"/>
    <s v="APPR"/>
    <x v="0"/>
    <x v="0"/>
    <x v="3"/>
    <x v="1"/>
    <m/>
    <x v="3"/>
    <x v="0"/>
    <s v="Resolved"/>
    <n v="0.3"/>
    <n v="115"/>
    <n v="34.5"/>
    <n v="46268.655147939811"/>
    <x v="3"/>
  </r>
  <r>
    <n v="1000003724"/>
    <s v="Mounds View ISD #621"/>
    <n v="1000001992"/>
    <x v="22"/>
    <s v="SNP"/>
    <x v="0"/>
    <x v="0"/>
    <n v="0"/>
    <s v="APPR"/>
    <x v="0"/>
    <x v="0"/>
    <x v="4"/>
    <x v="1"/>
    <m/>
    <x v="3"/>
    <x v="0"/>
    <s v="Resolved"/>
    <n v="2.12"/>
    <n v="492"/>
    <n v="1043.04"/>
    <n v="46268.655147939811"/>
    <x v="8"/>
  </r>
  <r>
    <n v="1000003724"/>
    <s v="Mounds View ISD #621"/>
    <n v="1000001992"/>
    <x v="22"/>
    <s v="SNP"/>
    <x v="0"/>
    <x v="0"/>
    <n v="0"/>
    <s v="APPR"/>
    <x v="1"/>
    <x v="0"/>
    <x v="0"/>
    <x v="1"/>
    <m/>
    <x v="2"/>
    <x v="0"/>
    <s v="Resolved"/>
    <n v="0.125"/>
    <n v="224"/>
    <n v="28"/>
    <n v="46268.655147939811"/>
    <x v="3"/>
  </r>
  <r>
    <n v="1000003724"/>
    <s v="Mounds View ISD #621"/>
    <n v="1000001992"/>
    <x v="22"/>
    <s v="SNP"/>
    <x v="0"/>
    <x v="0"/>
    <n v="0"/>
    <s v="APPR"/>
    <x v="1"/>
    <x v="0"/>
    <x v="3"/>
    <x v="1"/>
    <m/>
    <x v="2"/>
    <x v="0"/>
    <s v="Resolved"/>
    <n v="0.52500000000000002"/>
    <n v="109"/>
    <n v="57.22"/>
    <n v="46268.655147939811"/>
    <x v="3"/>
  </r>
  <r>
    <n v="1000003724"/>
    <s v="Mounds View ISD #621"/>
    <n v="1000001992"/>
    <x v="22"/>
    <s v="SNP"/>
    <x v="0"/>
    <x v="0"/>
    <n v="0"/>
    <s v="APPR"/>
    <x v="1"/>
    <x v="0"/>
    <x v="4"/>
    <x v="1"/>
    <m/>
    <x v="2"/>
    <x v="0"/>
    <s v="Resolved"/>
    <n v="4.4349999999999996"/>
    <n v="459"/>
    <n v="2035.66"/>
    <n v="46268.655147939811"/>
    <x v="3"/>
  </r>
  <r>
    <n v="1000003724"/>
    <s v="Mounds View ISD #621"/>
    <n v="1000002002"/>
    <x v="23"/>
    <s v="SNP"/>
    <x v="0"/>
    <x v="0"/>
    <n v="0"/>
    <s v="APPR"/>
    <x v="0"/>
    <x v="0"/>
    <x v="0"/>
    <x v="0"/>
    <m/>
    <x v="0"/>
    <x v="0"/>
    <s v="Resolved"/>
    <n v="2.54"/>
    <n v="18"/>
    <n v="45.72"/>
    <n v="46268.655147939811"/>
    <x v="7"/>
  </r>
  <r>
    <n v="1000003724"/>
    <s v="Mounds View ISD #621"/>
    <n v="1000002002"/>
    <x v="23"/>
    <s v="SNP"/>
    <x v="0"/>
    <x v="0"/>
    <n v="0"/>
    <s v="APPR"/>
    <x v="0"/>
    <x v="0"/>
    <x v="3"/>
    <x v="0"/>
    <m/>
    <x v="0"/>
    <x v="0"/>
    <s v="Resolved"/>
    <n v="2.2400000000000002"/>
    <n v="2"/>
    <n v="4.4800000000000004"/>
    <n v="46268.655147939811"/>
    <x v="7"/>
  </r>
  <r>
    <n v="1000003724"/>
    <s v="Mounds View ISD #621"/>
    <n v="1000002002"/>
    <x v="23"/>
    <s v="SNP"/>
    <x v="0"/>
    <x v="0"/>
    <n v="0"/>
    <s v="APPR"/>
    <x v="0"/>
    <x v="0"/>
    <x v="4"/>
    <x v="0"/>
    <m/>
    <x v="0"/>
    <x v="0"/>
    <s v="Resolved"/>
    <n v="0.42"/>
    <n v="13"/>
    <n v="5.46"/>
    <n v="46268.655147939811"/>
    <x v="7"/>
  </r>
  <r>
    <n v="1000003724"/>
    <s v="Mounds View ISD #621"/>
    <n v="1000002002"/>
    <x v="23"/>
    <s v="SNP"/>
    <x v="0"/>
    <x v="0"/>
    <n v="0"/>
    <s v="APPR"/>
    <x v="1"/>
    <x v="0"/>
    <x v="0"/>
    <x v="0"/>
    <m/>
    <x v="1"/>
    <x v="1"/>
    <s v="Resolved"/>
    <n v="4.3099999999999996"/>
    <n v="44"/>
    <n v="189.64"/>
    <n v="46268.655147939811"/>
    <x v="5"/>
  </r>
  <r>
    <n v="1000003724"/>
    <s v="Mounds View ISD #621"/>
    <n v="1000002002"/>
    <x v="23"/>
    <s v="SNP"/>
    <x v="0"/>
    <x v="0"/>
    <n v="0"/>
    <s v="APPR"/>
    <x v="1"/>
    <x v="0"/>
    <x v="1"/>
    <x v="0"/>
    <m/>
    <x v="1"/>
    <x v="2"/>
    <s v="Resolved"/>
    <n v="0.09"/>
    <n v="90"/>
    <n v="8.1"/>
    <n v="46268.655147939811"/>
    <x v="2"/>
  </r>
  <r>
    <n v="1000003724"/>
    <s v="Mounds View ISD #621"/>
    <n v="1000002002"/>
    <x v="23"/>
    <s v="SNP"/>
    <x v="0"/>
    <x v="0"/>
    <n v="0"/>
    <s v="APPR"/>
    <x v="1"/>
    <x v="0"/>
    <x v="3"/>
    <x v="0"/>
    <m/>
    <x v="1"/>
    <x v="1"/>
    <s v="Resolved"/>
    <n v="3.91"/>
    <n v="3"/>
    <n v="11.73"/>
    <n v="46268.655147939811"/>
    <x v="5"/>
  </r>
  <r>
    <n v="1000003724"/>
    <s v="Mounds View ISD #621"/>
    <n v="1000002002"/>
    <x v="23"/>
    <s v="SNP"/>
    <x v="0"/>
    <x v="0"/>
    <n v="0"/>
    <s v="APPR"/>
    <x v="1"/>
    <x v="0"/>
    <x v="2"/>
    <x v="0"/>
    <m/>
    <x v="1"/>
    <x v="3"/>
    <s v="Resolved"/>
    <n v="0.45"/>
    <n v="90"/>
    <n v="40.5"/>
    <n v="46268.655147939811"/>
    <x v="5"/>
  </r>
  <r>
    <n v="1000003724"/>
    <s v="Mounds View ISD #621"/>
    <n v="1000002002"/>
    <x v="23"/>
    <s v="SNP"/>
    <x v="0"/>
    <x v="0"/>
    <n v="0"/>
    <s v="APPR"/>
    <x v="0"/>
    <x v="0"/>
    <x v="3"/>
    <x v="1"/>
    <m/>
    <x v="3"/>
    <x v="0"/>
    <s v="Resolved"/>
    <n v="0.3"/>
    <n v="2"/>
    <n v="0.6"/>
    <n v="46268.655147939811"/>
    <x v="3"/>
  </r>
  <r>
    <n v="1000003724"/>
    <s v="Mounds View ISD #621"/>
    <n v="1000002002"/>
    <x v="23"/>
    <s v="SNP"/>
    <x v="0"/>
    <x v="0"/>
    <n v="0"/>
    <s v="APPR"/>
    <x v="0"/>
    <x v="0"/>
    <x v="4"/>
    <x v="1"/>
    <m/>
    <x v="3"/>
    <x v="0"/>
    <s v="Resolved"/>
    <n v="2.12"/>
    <n v="13"/>
    <n v="27.56"/>
    <n v="46268.655147939811"/>
    <x v="8"/>
  </r>
  <r>
    <n v="1000003724"/>
    <s v="Mounds View ISD #621"/>
    <n v="1000002002"/>
    <x v="23"/>
    <s v="SNP"/>
    <x v="0"/>
    <x v="0"/>
    <n v="0"/>
    <s v="APPR"/>
    <x v="0"/>
    <x v="1"/>
    <x v="4"/>
    <x v="1"/>
    <m/>
    <x v="3"/>
    <x v="0"/>
    <s v="Resolved"/>
    <n v="0"/>
    <n v="13"/>
    <n v="0"/>
    <n v="46268.655147939811"/>
    <x v="9"/>
  </r>
  <r>
    <n v="1000003724"/>
    <s v="Mounds View ISD #621"/>
    <n v="1000002002"/>
    <x v="23"/>
    <s v="SNP"/>
    <x v="0"/>
    <x v="0"/>
    <n v="0"/>
    <s v="APPR"/>
    <x v="1"/>
    <x v="0"/>
    <x v="0"/>
    <x v="1"/>
    <m/>
    <x v="2"/>
    <x v="0"/>
    <s v="Resolved"/>
    <n v="0.125"/>
    <n v="44"/>
    <n v="5.5"/>
    <n v="46268.655147939811"/>
    <x v="3"/>
  </r>
  <r>
    <n v="1000003724"/>
    <s v="Mounds View ISD #621"/>
    <n v="1000002002"/>
    <x v="23"/>
    <s v="SNP"/>
    <x v="0"/>
    <x v="0"/>
    <n v="0"/>
    <s v="APPR"/>
    <x v="1"/>
    <x v="0"/>
    <x v="3"/>
    <x v="1"/>
    <m/>
    <x v="2"/>
    <x v="0"/>
    <s v="Resolved"/>
    <n v="0.52500000000000002"/>
    <n v="3"/>
    <n v="1.57"/>
    <n v="46268.655147939811"/>
    <x v="3"/>
  </r>
  <r>
    <n v="1000003724"/>
    <s v="Mounds View ISD #621"/>
    <n v="1000002002"/>
    <x v="23"/>
    <s v="SNP"/>
    <x v="0"/>
    <x v="0"/>
    <n v="0"/>
    <s v="APPR"/>
    <x v="1"/>
    <x v="0"/>
    <x v="4"/>
    <x v="1"/>
    <m/>
    <x v="2"/>
    <x v="0"/>
    <s v="Resolved"/>
    <n v="4.4349999999999996"/>
    <n v="43"/>
    <n v="190.7"/>
    <n v="46268.655147939811"/>
    <x v="3"/>
  </r>
  <r>
    <n v="1000003724"/>
    <s v="Mounds View ISD #621"/>
    <n v="1000001998"/>
    <x v="24"/>
    <s v="SNP"/>
    <x v="0"/>
    <x v="0"/>
    <n v="0"/>
    <s v="APPR"/>
    <x v="0"/>
    <x v="0"/>
    <x v="0"/>
    <x v="0"/>
    <m/>
    <x v="0"/>
    <x v="0"/>
    <s v="Resolved"/>
    <n v="2.54"/>
    <n v="250"/>
    <n v="635"/>
    <n v="46268.655147939811"/>
    <x v="7"/>
  </r>
  <r>
    <n v="1000003724"/>
    <s v="Mounds View ISD #621"/>
    <n v="1000001998"/>
    <x v="24"/>
    <s v="SNP"/>
    <x v="0"/>
    <x v="0"/>
    <n v="0"/>
    <s v="APPR"/>
    <x v="0"/>
    <x v="0"/>
    <x v="3"/>
    <x v="0"/>
    <m/>
    <x v="0"/>
    <x v="0"/>
    <s v="Resolved"/>
    <n v="2.2400000000000002"/>
    <n v="103"/>
    <n v="230.72"/>
    <n v="46268.655147939811"/>
    <x v="7"/>
  </r>
  <r>
    <n v="1000003724"/>
    <s v="Mounds View ISD #621"/>
    <n v="1000001998"/>
    <x v="24"/>
    <s v="SNP"/>
    <x v="0"/>
    <x v="0"/>
    <n v="0"/>
    <s v="APPR"/>
    <x v="0"/>
    <x v="0"/>
    <x v="4"/>
    <x v="0"/>
    <m/>
    <x v="0"/>
    <x v="0"/>
    <s v="Resolved"/>
    <n v="0.42"/>
    <n v="366"/>
    <n v="153.72"/>
    <n v="46268.655147939811"/>
    <x v="7"/>
  </r>
  <r>
    <n v="1000003724"/>
    <s v="Mounds View ISD #621"/>
    <n v="1000001998"/>
    <x v="24"/>
    <s v="SNP"/>
    <x v="0"/>
    <x v="0"/>
    <n v="0"/>
    <s v="APPR"/>
    <x v="1"/>
    <x v="0"/>
    <x v="0"/>
    <x v="0"/>
    <m/>
    <x v="1"/>
    <x v="1"/>
    <s v="Resolved"/>
    <n v="4.3099999999999996"/>
    <n v="292"/>
    <n v="1258.52"/>
    <n v="46268.655147939811"/>
    <x v="5"/>
  </r>
  <r>
    <n v="1000003724"/>
    <s v="Mounds View ISD #621"/>
    <n v="1000001998"/>
    <x v="24"/>
    <s v="SNP"/>
    <x v="0"/>
    <x v="0"/>
    <n v="0"/>
    <s v="APPR"/>
    <x v="1"/>
    <x v="0"/>
    <x v="1"/>
    <x v="0"/>
    <m/>
    <x v="1"/>
    <x v="2"/>
    <s v="Resolved"/>
    <n v="0.09"/>
    <n v="971"/>
    <n v="87.39"/>
    <n v="46268.655147939811"/>
    <x v="2"/>
  </r>
  <r>
    <n v="1000003724"/>
    <s v="Mounds View ISD #621"/>
    <n v="1000001998"/>
    <x v="24"/>
    <s v="SNP"/>
    <x v="0"/>
    <x v="0"/>
    <n v="0"/>
    <s v="APPR"/>
    <x v="1"/>
    <x v="0"/>
    <x v="3"/>
    <x v="0"/>
    <m/>
    <x v="1"/>
    <x v="1"/>
    <s v="Resolved"/>
    <n v="3.91"/>
    <n v="135"/>
    <n v="527.85"/>
    <n v="46268.655147939811"/>
    <x v="5"/>
  </r>
  <r>
    <n v="1000003724"/>
    <s v="Mounds View ISD #621"/>
    <n v="1000001998"/>
    <x v="24"/>
    <s v="SNP"/>
    <x v="0"/>
    <x v="0"/>
    <n v="0"/>
    <s v="APPR"/>
    <x v="1"/>
    <x v="0"/>
    <x v="2"/>
    <x v="0"/>
    <m/>
    <x v="1"/>
    <x v="3"/>
    <s v="Resolved"/>
    <n v="0.45"/>
    <n v="971"/>
    <n v="436.95"/>
    <n v="46268.655147939811"/>
    <x v="5"/>
  </r>
  <r>
    <n v="1000003724"/>
    <s v="Mounds View ISD #621"/>
    <n v="1000001998"/>
    <x v="24"/>
    <s v="SNP"/>
    <x v="0"/>
    <x v="0"/>
    <n v="0"/>
    <s v="APPR"/>
    <x v="0"/>
    <x v="0"/>
    <x v="3"/>
    <x v="1"/>
    <m/>
    <x v="3"/>
    <x v="0"/>
    <s v="Resolved"/>
    <n v="0.3"/>
    <n v="103"/>
    <n v="30.9"/>
    <n v="46268.655147939811"/>
    <x v="3"/>
  </r>
  <r>
    <n v="1000003724"/>
    <s v="Mounds View ISD #621"/>
    <n v="1000001998"/>
    <x v="24"/>
    <s v="SNP"/>
    <x v="0"/>
    <x v="0"/>
    <n v="0"/>
    <s v="APPR"/>
    <x v="0"/>
    <x v="0"/>
    <x v="4"/>
    <x v="1"/>
    <m/>
    <x v="3"/>
    <x v="0"/>
    <s v="Resolved"/>
    <n v="2.12"/>
    <n v="366"/>
    <n v="775.92"/>
    <n v="46268.655147939811"/>
    <x v="8"/>
  </r>
  <r>
    <n v="1000003724"/>
    <s v="Mounds View ISD #621"/>
    <n v="1000001998"/>
    <x v="24"/>
    <s v="SNP"/>
    <x v="0"/>
    <x v="0"/>
    <n v="0"/>
    <s v="APPR"/>
    <x v="1"/>
    <x v="0"/>
    <x v="0"/>
    <x v="1"/>
    <m/>
    <x v="2"/>
    <x v="0"/>
    <s v="Resolved"/>
    <n v="0.125"/>
    <n v="292"/>
    <n v="36.5"/>
    <n v="46268.655147939811"/>
    <x v="3"/>
  </r>
  <r>
    <n v="1000003724"/>
    <s v="Mounds View ISD #621"/>
    <n v="1000001998"/>
    <x v="24"/>
    <s v="SNP"/>
    <x v="0"/>
    <x v="0"/>
    <n v="0"/>
    <s v="APPR"/>
    <x v="1"/>
    <x v="0"/>
    <x v="3"/>
    <x v="1"/>
    <m/>
    <x v="2"/>
    <x v="0"/>
    <s v="Resolved"/>
    <n v="0.52500000000000002"/>
    <n v="135"/>
    <n v="70.87"/>
    <n v="46268.655147939811"/>
    <x v="3"/>
  </r>
  <r>
    <n v="1000003724"/>
    <s v="Mounds View ISD #621"/>
    <n v="1000001998"/>
    <x v="24"/>
    <s v="SNP"/>
    <x v="0"/>
    <x v="0"/>
    <n v="0"/>
    <s v="APPR"/>
    <x v="1"/>
    <x v="0"/>
    <x v="4"/>
    <x v="1"/>
    <m/>
    <x v="2"/>
    <x v="0"/>
    <s v="Resolved"/>
    <n v="4.4349999999999996"/>
    <n v="544"/>
    <n v="2412.64"/>
    <n v="46268.655147939811"/>
    <x v="3"/>
  </r>
  <r>
    <n v="1000004366"/>
    <s v="Nexus Inc"/>
    <n v="9000021028"/>
    <x v="25"/>
    <s v="SNP"/>
    <x v="0"/>
    <x v="0"/>
    <n v="0"/>
    <s v="APPR"/>
    <x v="0"/>
    <x v="0"/>
    <x v="4"/>
    <x v="0"/>
    <m/>
    <x v="0"/>
    <x v="0"/>
    <s v="Resolved"/>
    <n v="0.42"/>
    <n v="132"/>
    <n v="55.44"/>
    <n v="46268.655147939811"/>
    <x v="0"/>
  </r>
  <r>
    <n v="1000004366"/>
    <s v="Nexus Inc"/>
    <n v="9000021028"/>
    <x v="25"/>
    <s v="SNP"/>
    <x v="0"/>
    <x v="0"/>
    <n v="0"/>
    <s v="APPR"/>
    <x v="1"/>
    <x v="0"/>
    <x v="1"/>
    <x v="0"/>
    <m/>
    <x v="1"/>
    <x v="2"/>
    <s v="Resolved"/>
    <n v="0.09"/>
    <n v="166"/>
    <n v="14.94"/>
    <n v="46268.655147939811"/>
    <x v="2"/>
  </r>
  <r>
    <n v="1000004366"/>
    <s v="Nexus Inc"/>
    <n v="9000021028"/>
    <x v="25"/>
    <s v="SNP"/>
    <x v="0"/>
    <x v="0"/>
    <n v="0"/>
    <s v="APPR"/>
    <x v="1"/>
    <x v="0"/>
    <x v="2"/>
    <x v="0"/>
    <m/>
    <x v="1"/>
    <x v="3"/>
    <s v="Resolved"/>
    <n v="0.47"/>
    <n v="166"/>
    <n v="78.02"/>
    <n v="46268.655147939811"/>
    <x v="1"/>
  </r>
  <r>
    <n v="1000004366"/>
    <s v="Nexus Inc"/>
    <n v="9000021028"/>
    <x v="25"/>
    <s v="SNP"/>
    <x v="0"/>
    <x v="0"/>
    <n v="0"/>
    <s v="APPR"/>
    <x v="0"/>
    <x v="0"/>
    <x v="4"/>
    <x v="1"/>
    <m/>
    <x v="3"/>
    <x v="0"/>
    <s v="Resolved"/>
    <n v="2.63"/>
    <n v="132"/>
    <n v="347.16"/>
    <n v="46268.655147939811"/>
    <x v="6"/>
  </r>
  <r>
    <n v="1000004366"/>
    <s v="Nexus Inc"/>
    <n v="9000021028"/>
    <x v="25"/>
    <s v="SNP"/>
    <x v="0"/>
    <x v="0"/>
    <n v="0"/>
    <s v="APPR"/>
    <x v="1"/>
    <x v="0"/>
    <x v="4"/>
    <x v="1"/>
    <m/>
    <x v="2"/>
    <x v="0"/>
    <s v="Resolved"/>
    <n v="4.4349999999999996"/>
    <n v="166"/>
    <n v="736.21"/>
    <n v="46268.655147939811"/>
    <x v="3"/>
  </r>
  <r>
    <n v="1000004366"/>
    <s v="Nexus Inc"/>
    <n v="1000003177"/>
    <x v="26"/>
    <s v="SNP"/>
    <x v="0"/>
    <x v="0"/>
    <n v="0"/>
    <s v="APPR"/>
    <x v="0"/>
    <x v="0"/>
    <x v="0"/>
    <x v="0"/>
    <m/>
    <x v="0"/>
    <x v="0"/>
    <s v="Resolved"/>
    <n v="3.05"/>
    <n v="1028"/>
    <n v="3135.4"/>
    <n v="46268.655147939811"/>
    <x v="0"/>
  </r>
  <r>
    <n v="1000004366"/>
    <s v="Nexus Inc"/>
    <n v="1000003177"/>
    <x v="26"/>
    <s v="SNP"/>
    <x v="0"/>
    <x v="0"/>
    <n v="0"/>
    <s v="APPR"/>
    <x v="1"/>
    <x v="0"/>
    <x v="0"/>
    <x v="0"/>
    <m/>
    <x v="1"/>
    <x v="1"/>
    <s v="Resolved"/>
    <n v="4.3099999999999996"/>
    <n v="944"/>
    <n v="4068.64"/>
    <n v="46268.655147939811"/>
    <x v="1"/>
  </r>
  <r>
    <n v="1000004366"/>
    <s v="Nexus Inc"/>
    <n v="1000003177"/>
    <x v="26"/>
    <s v="SNP"/>
    <x v="0"/>
    <x v="0"/>
    <n v="0"/>
    <s v="APPR"/>
    <x v="1"/>
    <x v="0"/>
    <x v="1"/>
    <x v="0"/>
    <m/>
    <x v="1"/>
    <x v="2"/>
    <s v="Resolved"/>
    <n v="0.09"/>
    <n v="944"/>
    <n v="84.96"/>
    <n v="46268.655147939811"/>
    <x v="2"/>
  </r>
  <r>
    <n v="1000004366"/>
    <s v="Nexus Inc"/>
    <n v="1000003177"/>
    <x v="26"/>
    <s v="SNP"/>
    <x v="0"/>
    <x v="0"/>
    <n v="0"/>
    <s v="APPR"/>
    <x v="1"/>
    <x v="0"/>
    <x v="2"/>
    <x v="0"/>
    <m/>
    <x v="1"/>
    <x v="3"/>
    <s v="Resolved"/>
    <n v="0.47"/>
    <n v="944"/>
    <n v="443.68"/>
    <n v="46268.655147939811"/>
    <x v="1"/>
  </r>
  <r>
    <n v="1000004366"/>
    <s v="Nexus Inc"/>
    <n v="1000003177"/>
    <x v="26"/>
    <s v="SNP"/>
    <x v="0"/>
    <x v="0"/>
    <n v="0"/>
    <s v="APPR"/>
    <x v="1"/>
    <x v="0"/>
    <x v="0"/>
    <x v="1"/>
    <m/>
    <x v="2"/>
    <x v="0"/>
    <s v="Resolved"/>
    <n v="0.125"/>
    <n v="944"/>
    <n v="118"/>
    <n v="46268.655147939811"/>
    <x v="3"/>
  </r>
  <r>
    <n v="1000004414"/>
    <s v="North Homes Inc"/>
    <n v="1000005103"/>
    <x v="27"/>
    <s v="SNP"/>
    <x v="0"/>
    <x v="0"/>
    <n v="0"/>
    <s v="APPR"/>
    <x v="2"/>
    <x v="0"/>
    <x v="0"/>
    <x v="0"/>
    <m/>
    <x v="1"/>
    <x v="4"/>
    <s v="Resolved"/>
    <n v="1.3"/>
    <n v="1088"/>
    <n v="1414.4"/>
    <n v="46268.655147939811"/>
    <x v="4"/>
  </r>
  <r>
    <n v="1000004414"/>
    <s v="North Homes Inc"/>
    <n v="1000005103"/>
    <x v="27"/>
    <s v="SNP"/>
    <x v="0"/>
    <x v="0"/>
    <n v="0"/>
    <s v="APPR"/>
    <x v="0"/>
    <x v="0"/>
    <x v="0"/>
    <x v="0"/>
    <m/>
    <x v="0"/>
    <x v="0"/>
    <s v="Resolved"/>
    <n v="3.05"/>
    <n v="1081"/>
    <n v="3297.05"/>
    <n v="46268.655147939811"/>
    <x v="0"/>
  </r>
  <r>
    <n v="1000004414"/>
    <s v="North Homes Inc"/>
    <n v="1000005103"/>
    <x v="27"/>
    <s v="SNP"/>
    <x v="0"/>
    <x v="0"/>
    <n v="0"/>
    <s v="APPR"/>
    <x v="1"/>
    <x v="0"/>
    <x v="0"/>
    <x v="0"/>
    <m/>
    <x v="1"/>
    <x v="1"/>
    <s v="Resolved"/>
    <n v="4.3099999999999996"/>
    <n v="1083"/>
    <n v="4667.7299999999996"/>
    <n v="46268.655147939811"/>
    <x v="1"/>
  </r>
  <r>
    <n v="1000004414"/>
    <s v="North Homes Inc"/>
    <n v="1000005103"/>
    <x v="27"/>
    <s v="SNP"/>
    <x v="0"/>
    <x v="0"/>
    <n v="0"/>
    <s v="APPR"/>
    <x v="1"/>
    <x v="0"/>
    <x v="1"/>
    <x v="0"/>
    <m/>
    <x v="1"/>
    <x v="2"/>
    <s v="Resolved"/>
    <n v="0.09"/>
    <n v="1083"/>
    <n v="97.47"/>
    <n v="46268.655147939811"/>
    <x v="2"/>
  </r>
  <r>
    <n v="1000004414"/>
    <s v="North Homes Inc"/>
    <n v="1000005103"/>
    <x v="27"/>
    <s v="SNP"/>
    <x v="0"/>
    <x v="0"/>
    <n v="0"/>
    <s v="APPR"/>
    <x v="1"/>
    <x v="0"/>
    <x v="2"/>
    <x v="0"/>
    <m/>
    <x v="1"/>
    <x v="3"/>
    <s v="Resolved"/>
    <n v="0.47"/>
    <n v="1083"/>
    <n v="509.01"/>
    <n v="46268.655147939811"/>
    <x v="1"/>
  </r>
  <r>
    <n v="1000004414"/>
    <s v="North Homes Inc"/>
    <n v="1000005103"/>
    <x v="27"/>
    <s v="SNP"/>
    <x v="0"/>
    <x v="0"/>
    <n v="0"/>
    <s v="APPR"/>
    <x v="1"/>
    <x v="0"/>
    <x v="0"/>
    <x v="1"/>
    <m/>
    <x v="2"/>
    <x v="0"/>
    <s v="Resolved"/>
    <n v="0.125"/>
    <n v="1083"/>
    <n v="135.37"/>
    <n v="46268.655147939811"/>
    <x v="3"/>
  </r>
  <r>
    <n v="1000003994"/>
    <s v="Northfield ISD #659"/>
    <n v="1000002194"/>
    <x v="28"/>
    <s v="SNP"/>
    <x v="0"/>
    <x v="0"/>
    <n v="0"/>
    <s v="APPR"/>
    <x v="0"/>
    <x v="0"/>
    <x v="0"/>
    <x v="0"/>
    <m/>
    <x v="0"/>
    <x v="0"/>
    <s v="Resolved"/>
    <n v="2.54"/>
    <n v="827"/>
    <n v="2100.58"/>
    <n v="46268.655147939811"/>
    <x v="7"/>
  </r>
  <r>
    <n v="1000003994"/>
    <s v="Northfield ISD #659"/>
    <n v="1000002194"/>
    <x v="28"/>
    <s v="SNP"/>
    <x v="0"/>
    <x v="0"/>
    <n v="0"/>
    <s v="APPR"/>
    <x v="0"/>
    <x v="0"/>
    <x v="3"/>
    <x v="0"/>
    <m/>
    <x v="0"/>
    <x v="0"/>
    <s v="Resolved"/>
    <n v="2.2400000000000002"/>
    <n v="108"/>
    <n v="241.92"/>
    <n v="46268.655147939811"/>
    <x v="7"/>
  </r>
  <r>
    <n v="1000003994"/>
    <s v="Northfield ISD #659"/>
    <n v="1000002194"/>
    <x v="28"/>
    <s v="SNP"/>
    <x v="0"/>
    <x v="0"/>
    <n v="0"/>
    <s v="APPR"/>
    <x v="0"/>
    <x v="0"/>
    <x v="4"/>
    <x v="0"/>
    <m/>
    <x v="0"/>
    <x v="0"/>
    <s v="Resolved"/>
    <n v="0.42"/>
    <n v="664"/>
    <n v="278.88"/>
    <n v="46268.655147939811"/>
    <x v="7"/>
  </r>
  <r>
    <n v="1000003994"/>
    <s v="Northfield ISD #659"/>
    <n v="1000002194"/>
    <x v="28"/>
    <s v="SNP"/>
    <x v="0"/>
    <x v="0"/>
    <n v="0"/>
    <s v="APPR"/>
    <x v="1"/>
    <x v="0"/>
    <x v="0"/>
    <x v="0"/>
    <m/>
    <x v="1"/>
    <x v="1"/>
    <s v="Resolved"/>
    <n v="4.3099999999999996"/>
    <n v="1174"/>
    <n v="5059.9399999999996"/>
    <n v="46268.655147939811"/>
    <x v="5"/>
  </r>
  <r>
    <n v="1000003994"/>
    <s v="Northfield ISD #659"/>
    <n v="1000002194"/>
    <x v="28"/>
    <s v="SNP"/>
    <x v="0"/>
    <x v="0"/>
    <n v="0"/>
    <s v="APPR"/>
    <x v="1"/>
    <x v="0"/>
    <x v="1"/>
    <x v="0"/>
    <m/>
    <x v="1"/>
    <x v="2"/>
    <s v="Resolved"/>
    <n v="0.09"/>
    <n v="2328"/>
    <n v="209.52"/>
    <n v="46268.655147939811"/>
    <x v="2"/>
  </r>
  <r>
    <n v="1000003994"/>
    <s v="Northfield ISD #659"/>
    <n v="1000002194"/>
    <x v="28"/>
    <s v="SNP"/>
    <x v="0"/>
    <x v="0"/>
    <n v="0"/>
    <s v="APPR"/>
    <x v="1"/>
    <x v="0"/>
    <x v="3"/>
    <x v="0"/>
    <m/>
    <x v="1"/>
    <x v="1"/>
    <s v="Resolved"/>
    <n v="3.91"/>
    <n v="158"/>
    <n v="617.78"/>
    <n v="46268.655147939811"/>
    <x v="5"/>
  </r>
  <r>
    <n v="1000003994"/>
    <s v="Northfield ISD #659"/>
    <n v="1000002194"/>
    <x v="28"/>
    <s v="SNP"/>
    <x v="0"/>
    <x v="0"/>
    <n v="0"/>
    <s v="APPR"/>
    <x v="1"/>
    <x v="0"/>
    <x v="2"/>
    <x v="0"/>
    <m/>
    <x v="1"/>
    <x v="3"/>
    <s v="Resolved"/>
    <n v="0.45"/>
    <n v="2328"/>
    <n v="1047.5999999999999"/>
    <n v="46268.655147939811"/>
    <x v="5"/>
  </r>
  <r>
    <n v="1000003994"/>
    <s v="Northfield ISD #659"/>
    <n v="1000002194"/>
    <x v="28"/>
    <s v="SNP"/>
    <x v="0"/>
    <x v="0"/>
    <n v="0"/>
    <s v="APPR"/>
    <x v="0"/>
    <x v="0"/>
    <x v="3"/>
    <x v="1"/>
    <m/>
    <x v="3"/>
    <x v="0"/>
    <s v="Resolved"/>
    <n v="0.3"/>
    <n v="108"/>
    <n v="32.4"/>
    <n v="46268.655147939811"/>
    <x v="3"/>
  </r>
  <r>
    <n v="1000003994"/>
    <s v="Northfield ISD #659"/>
    <n v="1000002194"/>
    <x v="28"/>
    <s v="SNP"/>
    <x v="0"/>
    <x v="0"/>
    <n v="0"/>
    <s v="APPR"/>
    <x v="0"/>
    <x v="0"/>
    <x v="4"/>
    <x v="1"/>
    <m/>
    <x v="3"/>
    <x v="0"/>
    <s v="Resolved"/>
    <n v="2.12"/>
    <n v="664"/>
    <n v="1407.68"/>
    <n v="46268.655147939811"/>
    <x v="8"/>
  </r>
  <r>
    <n v="1000003994"/>
    <s v="Northfield ISD #659"/>
    <n v="1000002194"/>
    <x v="28"/>
    <s v="SNP"/>
    <x v="0"/>
    <x v="0"/>
    <n v="0"/>
    <s v="APPR"/>
    <x v="1"/>
    <x v="0"/>
    <x v="0"/>
    <x v="1"/>
    <m/>
    <x v="2"/>
    <x v="0"/>
    <s v="Resolved"/>
    <n v="0.125"/>
    <n v="1174"/>
    <n v="146.75"/>
    <n v="46268.655147939811"/>
    <x v="3"/>
  </r>
  <r>
    <n v="1000003994"/>
    <s v="Northfield ISD #659"/>
    <n v="1000002194"/>
    <x v="28"/>
    <s v="SNP"/>
    <x v="0"/>
    <x v="0"/>
    <n v="0"/>
    <s v="APPR"/>
    <x v="1"/>
    <x v="0"/>
    <x v="3"/>
    <x v="1"/>
    <m/>
    <x v="2"/>
    <x v="0"/>
    <s v="Resolved"/>
    <n v="0.52500000000000002"/>
    <n v="158"/>
    <n v="82.95"/>
    <n v="46268.655147939811"/>
    <x v="3"/>
  </r>
  <r>
    <n v="1000003994"/>
    <s v="Northfield ISD #659"/>
    <n v="1000002194"/>
    <x v="28"/>
    <s v="SNP"/>
    <x v="0"/>
    <x v="0"/>
    <n v="0"/>
    <s v="APPR"/>
    <x v="1"/>
    <x v="0"/>
    <x v="4"/>
    <x v="1"/>
    <m/>
    <x v="2"/>
    <x v="0"/>
    <s v="Resolved"/>
    <n v="4.4349999999999996"/>
    <n v="996"/>
    <n v="4417.26"/>
    <n v="46268.655147939811"/>
    <x v="3"/>
  </r>
  <r>
    <n v="1000003994"/>
    <s v="Northfield ISD #659"/>
    <n v="1000006293"/>
    <x v="29"/>
    <s v="SNP"/>
    <x v="0"/>
    <x v="0"/>
    <n v="0"/>
    <s v="APPR"/>
    <x v="0"/>
    <x v="0"/>
    <x v="0"/>
    <x v="0"/>
    <m/>
    <x v="0"/>
    <x v="0"/>
    <s v="Resolved"/>
    <n v="2.54"/>
    <n v="216"/>
    <n v="548.64"/>
    <n v="46268.655147939811"/>
    <x v="7"/>
  </r>
  <r>
    <n v="1000003994"/>
    <s v="Northfield ISD #659"/>
    <n v="1000006293"/>
    <x v="29"/>
    <s v="SNP"/>
    <x v="0"/>
    <x v="0"/>
    <n v="0"/>
    <s v="APPR"/>
    <x v="0"/>
    <x v="0"/>
    <x v="3"/>
    <x v="0"/>
    <m/>
    <x v="0"/>
    <x v="0"/>
    <s v="Resolved"/>
    <n v="2.2400000000000002"/>
    <n v="45"/>
    <n v="100.8"/>
    <n v="46268.655147939811"/>
    <x v="7"/>
  </r>
  <r>
    <n v="1000003994"/>
    <s v="Northfield ISD #659"/>
    <n v="1000006293"/>
    <x v="29"/>
    <s v="SNP"/>
    <x v="0"/>
    <x v="0"/>
    <n v="0"/>
    <s v="APPR"/>
    <x v="0"/>
    <x v="0"/>
    <x v="4"/>
    <x v="0"/>
    <m/>
    <x v="0"/>
    <x v="0"/>
    <s v="Resolved"/>
    <n v="0.42"/>
    <n v="106"/>
    <n v="44.52"/>
    <n v="46268.655147939811"/>
    <x v="7"/>
  </r>
  <r>
    <n v="1000003994"/>
    <s v="Northfield ISD #659"/>
    <n v="1000006293"/>
    <x v="29"/>
    <s v="SNP"/>
    <x v="0"/>
    <x v="0"/>
    <n v="0"/>
    <s v="APPR"/>
    <x v="1"/>
    <x v="0"/>
    <x v="0"/>
    <x v="0"/>
    <m/>
    <x v="1"/>
    <x v="1"/>
    <s v="Resolved"/>
    <n v="4.3099999999999996"/>
    <n v="432"/>
    <n v="1861.92"/>
    <n v="46268.655147939811"/>
    <x v="5"/>
  </r>
  <r>
    <n v="1000003994"/>
    <s v="Northfield ISD #659"/>
    <n v="1000006293"/>
    <x v="29"/>
    <s v="SNP"/>
    <x v="0"/>
    <x v="0"/>
    <n v="0"/>
    <s v="APPR"/>
    <x v="1"/>
    <x v="0"/>
    <x v="1"/>
    <x v="0"/>
    <m/>
    <x v="1"/>
    <x v="2"/>
    <s v="Resolved"/>
    <n v="0.09"/>
    <n v="769"/>
    <n v="69.209999999999994"/>
    <n v="46268.655147939811"/>
    <x v="2"/>
  </r>
  <r>
    <n v="1000003994"/>
    <s v="Northfield ISD #659"/>
    <n v="1000006293"/>
    <x v="29"/>
    <s v="SNP"/>
    <x v="0"/>
    <x v="0"/>
    <n v="0"/>
    <s v="APPR"/>
    <x v="1"/>
    <x v="0"/>
    <x v="3"/>
    <x v="0"/>
    <m/>
    <x v="1"/>
    <x v="1"/>
    <s v="Resolved"/>
    <n v="3.91"/>
    <n v="114"/>
    <n v="445.74"/>
    <n v="46268.655147939811"/>
    <x v="5"/>
  </r>
  <r>
    <n v="1000003994"/>
    <s v="Northfield ISD #659"/>
    <n v="1000006293"/>
    <x v="29"/>
    <s v="SNP"/>
    <x v="0"/>
    <x v="0"/>
    <n v="0"/>
    <s v="APPR"/>
    <x v="1"/>
    <x v="0"/>
    <x v="2"/>
    <x v="0"/>
    <m/>
    <x v="1"/>
    <x v="3"/>
    <s v="Resolved"/>
    <n v="0.45"/>
    <n v="769"/>
    <n v="346.05"/>
    <n v="46268.655147939811"/>
    <x v="5"/>
  </r>
  <r>
    <n v="1000003994"/>
    <s v="Northfield ISD #659"/>
    <n v="1000006293"/>
    <x v="29"/>
    <s v="SNP"/>
    <x v="0"/>
    <x v="0"/>
    <n v="0"/>
    <s v="APPR"/>
    <x v="0"/>
    <x v="0"/>
    <x v="3"/>
    <x v="1"/>
    <m/>
    <x v="3"/>
    <x v="0"/>
    <s v="Resolved"/>
    <n v="0.3"/>
    <n v="45"/>
    <n v="13.5"/>
    <n v="46268.655147939811"/>
    <x v="3"/>
  </r>
  <r>
    <n v="1000003994"/>
    <s v="Northfield ISD #659"/>
    <n v="1000006293"/>
    <x v="29"/>
    <s v="SNP"/>
    <x v="0"/>
    <x v="0"/>
    <n v="0"/>
    <s v="APPR"/>
    <x v="0"/>
    <x v="0"/>
    <x v="4"/>
    <x v="1"/>
    <m/>
    <x v="3"/>
    <x v="0"/>
    <s v="Resolved"/>
    <n v="2.12"/>
    <n v="106"/>
    <n v="224.72"/>
    <n v="46268.655147939811"/>
    <x v="8"/>
  </r>
  <r>
    <n v="1000003994"/>
    <s v="Northfield ISD #659"/>
    <n v="1000006293"/>
    <x v="29"/>
    <s v="SNP"/>
    <x v="0"/>
    <x v="0"/>
    <n v="0"/>
    <s v="APPR"/>
    <x v="1"/>
    <x v="0"/>
    <x v="0"/>
    <x v="1"/>
    <m/>
    <x v="2"/>
    <x v="0"/>
    <s v="Resolved"/>
    <n v="0.125"/>
    <n v="432"/>
    <n v="54"/>
    <n v="46268.655147939811"/>
    <x v="3"/>
  </r>
  <r>
    <n v="1000003994"/>
    <s v="Northfield ISD #659"/>
    <n v="1000006293"/>
    <x v="29"/>
    <s v="SNP"/>
    <x v="0"/>
    <x v="0"/>
    <n v="0"/>
    <s v="APPR"/>
    <x v="1"/>
    <x v="0"/>
    <x v="3"/>
    <x v="1"/>
    <m/>
    <x v="2"/>
    <x v="0"/>
    <s v="Resolved"/>
    <n v="0.52500000000000002"/>
    <n v="114"/>
    <n v="59.85"/>
    <n v="46268.655147939811"/>
    <x v="3"/>
  </r>
  <r>
    <n v="1000003994"/>
    <s v="Northfield ISD #659"/>
    <n v="1000006293"/>
    <x v="29"/>
    <s v="SNP"/>
    <x v="0"/>
    <x v="0"/>
    <n v="0"/>
    <s v="APPR"/>
    <x v="1"/>
    <x v="0"/>
    <x v="4"/>
    <x v="1"/>
    <m/>
    <x v="2"/>
    <x v="0"/>
    <s v="Resolved"/>
    <n v="4.4349999999999996"/>
    <n v="223"/>
    <n v="989"/>
    <n v="46268.655147939811"/>
    <x v="3"/>
  </r>
  <r>
    <n v="1000004353"/>
    <s v="Northwestern MN Juvenile Center"/>
    <n v="1000003132"/>
    <x v="30"/>
    <s v="SNP"/>
    <x v="0"/>
    <x v="0"/>
    <n v="0"/>
    <s v="APPR"/>
    <x v="2"/>
    <x v="0"/>
    <x v="0"/>
    <x v="0"/>
    <m/>
    <x v="1"/>
    <x v="4"/>
    <s v="Resolved"/>
    <n v="1.3"/>
    <n v="567"/>
    <n v="737.1"/>
    <n v="46268.655147939811"/>
    <x v="4"/>
  </r>
  <r>
    <n v="1000004353"/>
    <s v="Northwestern MN Juvenile Center"/>
    <n v="1000003132"/>
    <x v="30"/>
    <s v="SNP"/>
    <x v="0"/>
    <x v="0"/>
    <n v="0"/>
    <s v="APPR"/>
    <x v="0"/>
    <x v="0"/>
    <x v="0"/>
    <x v="0"/>
    <m/>
    <x v="0"/>
    <x v="0"/>
    <s v="Resolved"/>
    <n v="3.05"/>
    <n v="1324"/>
    <n v="4038.2"/>
    <n v="46268.655147939811"/>
    <x v="0"/>
  </r>
  <r>
    <n v="1000004353"/>
    <s v="Northwestern MN Juvenile Center"/>
    <n v="1000003132"/>
    <x v="30"/>
    <s v="SNP"/>
    <x v="0"/>
    <x v="0"/>
    <n v="0"/>
    <s v="APPR"/>
    <x v="1"/>
    <x v="0"/>
    <x v="0"/>
    <x v="0"/>
    <m/>
    <x v="1"/>
    <x v="1"/>
    <s v="Resolved"/>
    <n v="4.3099999999999996"/>
    <n v="1314"/>
    <n v="5663.34"/>
    <n v="46268.655147939811"/>
    <x v="1"/>
  </r>
  <r>
    <n v="1000004353"/>
    <s v="Northwestern MN Juvenile Center"/>
    <n v="1000003132"/>
    <x v="30"/>
    <s v="SNP"/>
    <x v="0"/>
    <x v="0"/>
    <n v="0"/>
    <s v="APPR"/>
    <x v="1"/>
    <x v="0"/>
    <x v="1"/>
    <x v="0"/>
    <m/>
    <x v="1"/>
    <x v="2"/>
    <s v="Resolved"/>
    <n v="0.09"/>
    <n v="1314"/>
    <n v="118.26"/>
    <n v="46268.655147939811"/>
    <x v="2"/>
  </r>
  <r>
    <n v="1000004353"/>
    <s v="Northwestern MN Juvenile Center"/>
    <n v="1000003132"/>
    <x v="30"/>
    <s v="SNP"/>
    <x v="0"/>
    <x v="0"/>
    <n v="0"/>
    <s v="APPR"/>
    <x v="1"/>
    <x v="0"/>
    <x v="2"/>
    <x v="0"/>
    <m/>
    <x v="1"/>
    <x v="3"/>
    <s v="Resolved"/>
    <n v="0.47"/>
    <n v="1314"/>
    <n v="617.58000000000004"/>
    <n v="46268.655147939811"/>
    <x v="1"/>
  </r>
  <r>
    <n v="1000004353"/>
    <s v="Northwestern MN Juvenile Center"/>
    <n v="1000003132"/>
    <x v="30"/>
    <s v="SNP"/>
    <x v="0"/>
    <x v="0"/>
    <n v="0"/>
    <s v="APPR"/>
    <x v="1"/>
    <x v="0"/>
    <x v="0"/>
    <x v="1"/>
    <m/>
    <x v="2"/>
    <x v="0"/>
    <s v="Resolved"/>
    <n v="0.125"/>
    <n v="1314"/>
    <n v="164.25"/>
    <n v="46268.655147939811"/>
    <x v="3"/>
  </r>
  <r>
    <n v="1000004387"/>
    <s v="Northwood Childrens Services"/>
    <n v="1000003255"/>
    <x v="31"/>
    <s v="SNP"/>
    <x v="0"/>
    <x v="0"/>
    <n v="0"/>
    <s v="APPR"/>
    <x v="0"/>
    <x v="0"/>
    <x v="0"/>
    <x v="0"/>
    <m/>
    <x v="0"/>
    <x v="0"/>
    <s v="Resolved"/>
    <n v="3.05"/>
    <n v="799"/>
    <n v="2436.9499999999998"/>
    <n v="46268.655147939811"/>
    <x v="0"/>
  </r>
  <r>
    <n v="1000004387"/>
    <s v="Northwood Childrens Services"/>
    <n v="1000003255"/>
    <x v="31"/>
    <s v="SNP"/>
    <x v="0"/>
    <x v="0"/>
    <n v="0"/>
    <s v="APPR"/>
    <x v="1"/>
    <x v="0"/>
    <x v="0"/>
    <x v="0"/>
    <m/>
    <x v="1"/>
    <x v="1"/>
    <s v="Resolved"/>
    <n v="4.3099999999999996"/>
    <n v="799"/>
    <n v="3443.69"/>
    <n v="46268.655147939811"/>
    <x v="1"/>
  </r>
  <r>
    <n v="1000004387"/>
    <s v="Northwood Childrens Services"/>
    <n v="1000003255"/>
    <x v="31"/>
    <s v="SNP"/>
    <x v="0"/>
    <x v="0"/>
    <n v="0"/>
    <s v="APPR"/>
    <x v="1"/>
    <x v="0"/>
    <x v="1"/>
    <x v="0"/>
    <m/>
    <x v="1"/>
    <x v="2"/>
    <s v="Resolved"/>
    <n v="0.09"/>
    <n v="799"/>
    <n v="71.91"/>
    <n v="46268.655147939811"/>
    <x v="2"/>
  </r>
  <r>
    <n v="1000004387"/>
    <s v="Northwood Childrens Services"/>
    <n v="1000003255"/>
    <x v="31"/>
    <s v="SNP"/>
    <x v="0"/>
    <x v="0"/>
    <n v="0"/>
    <s v="APPR"/>
    <x v="1"/>
    <x v="0"/>
    <x v="2"/>
    <x v="0"/>
    <m/>
    <x v="1"/>
    <x v="3"/>
    <s v="Resolved"/>
    <n v="0.47"/>
    <n v="799"/>
    <n v="375.53"/>
    <n v="46268.655147939811"/>
    <x v="1"/>
  </r>
  <r>
    <n v="1000004387"/>
    <s v="Northwood Childrens Services"/>
    <n v="1000003255"/>
    <x v="31"/>
    <s v="SNP"/>
    <x v="0"/>
    <x v="0"/>
    <n v="0"/>
    <s v="APPR"/>
    <x v="1"/>
    <x v="0"/>
    <x v="0"/>
    <x v="1"/>
    <m/>
    <x v="2"/>
    <x v="0"/>
    <s v="Resolved"/>
    <n v="0.125"/>
    <n v="799"/>
    <n v="99.87"/>
    <n v="46268.655147939811"/>
    <x v="3"/>
  </r>
  <r>
    <n v="1000004387"/>
    <s v="Northwood Childrens Services"/>
    <n v="1000003249"/>
    <x v="32"/>
    <s v="SNP"/>
    <x v="0"/>
    <x v="0"/>
    <n v="0"/>
    <s v="APPR"/>
    <x v="0"/>
    <x v="0"/>
    <x v="0"/>
    <x v="0"/>
    <m/>
    <x v="0"/>
    <x v="0"/>
    <s v="Resolved"/>
    <n v="3.05"/>
    <n v="1160"/>
    <n v="3538"/>
    <n v="46268.655147939811"/>
    <x v="0"/>
  </r>
  <r>
    <n v="1000004387"/>
    <s v="Northwood Childrens Services"/>
    <n v="1000003249"/>
    <x v="32"/>
    <s v="SNP"/>
    <x v="0"/>
    <x v="0"/>
    <n v="0"/>
    <s v="APPR"/>
    <x v="0"/>
    <x v="0"/>
    <x v="3"/>
    <x v="0"/>
    <m/>
    <x v="0"/>
    <x v="0"/>
    <s v="Resolved"/>
    <n v="2.75"/>
    <n v="30"/>
    <n v="82.5"/>
    <n v="46268.655147939811"/>
    <x v="0"/>
  </r>
  <r>
    <n v="1000004387"/>
    <s v="Northwood Childrens Services"/>
    <n v="1000003249"/>
    <x v="32"/>
    <s v="SNP"/>
    <x v="0"/>
    <x v="0"/>
    <n v="0"/>
    <s v="APPR"/>
    <x v="0"/>
    <x v="0"/>
    <x v="4"/>
    <x v="0"/>
    <m/>
    <x v="0"/>
    <x v="0"/>
    <s v="Resolved"/>
    <n v="0.42"/>
    <n v="84"/>
    <n v="35.28"/>
    <n v="46268.655147939811"/>
    <x v="0"/>
  </r>
  <r>
    <n v="1000004387"/>
    <s v="Northwood Childrens Services"/>
    <n v="1000003249"/>
    <x v="32"/>
    <s v="SNP"/>
    <x v="0"/>
    <x v="0"/>
    <n v="0"/>
    <s v="APPR"/>
    <x v="1"/>
    <x v="0"/>
    <x v="0"/>
    <x v="0"/>
    <m/>
    <x v="1"/>
    <x v="1"/>
    <s v="Resolved"/>
    <n v="4.3099999999999996"/>
    <n v="1358"/>
    <n v="5852.98"/>
    <n v="46268.655147939811"/>
    <x v="1"/>
  </r>
  <r>
    <n v="1000004387"/>
    <s v="Northwood Childrens Services"/>
    <n v="1000003249"/>
    <x v="32"/>
    <s v="SNP"/>
    <x v="0"/>
    <x v="0"/>
    <n v="0"/>
    <s v="APPR"/>
    <x v="1"/>
    <x v="0"/>
    <x v="1"/>
    <x v="0"/>
    <m/>
    <x v="1"/>
    <x v="2"/>
    <s v="Resolved"/>
    <n v="0.09"/>
    <n v="1672"/>
    <n v="150.47999999999999"/>
    <n v="46268.655147939811"/>
    <x v="2"/>
  </r>
  <r>
    <n v="1000004387"/>
    <s v="Northwood Childrens Services"/>
    <n v="1000003249"/>
    <x v="32"/>
    <s v="SNP"/>
    <x v="0"/>
    <x v="0"/>
    <n v="0"/>
    <s v="APPR"/>
    <x v="1"/>
    <x v="0"/>
    <x v="3"/>
    <x v="0"/>
    <m/>
    <x v="1"/>
    <x v="1"/>
    <s v="Resolved"/>
    <n v="3.91"/>
    <n v="96"/>
    <n v="375.36"/>
    <n v="46268.655147939811"/>
    <x v="1"/>
  </r>
  <r>
    <n v="1000004387"/>
    <s v="Northwood Childrens Services"/>
    <n v="1000003249"/>
    <x v="32"/>
    <s v="SNP"/>
    <x v="0"/>
    <x v="0"/>
    <n v="0"/>
    <s v="APPR"/>
    <x v="1"/>
    <x v="0"/>
    <x v="2"/>
    <x v="0"/>
    <m/>
    <x v="1"/>
    <x v="3"/>
    <s v="Resolved"/>
    <n v="0.47"/>
    <n v="1672"/>
    <n v="785.84"/>
    <n v="46268.655147939811"/>
    <x v="1"/>
  </r>
  <r>
    <n v="1000004387"/>
    <s v="Northwood Childrens Services"/>
    <n v="1000003249"/>
    <x v="32"/>
    <s v="SNP"/>
    <x v="0"/>
    <x v="0"/>
    <n v="0"/>
    <s v="APPR"/>
    <x v="0"/>
    <x v="0"/>
    <x v="3"/>
    <x v="1"/>
    <m/>
    <x v="3"/>
    <x v="0"/>
    <s v="Resolved"/>
    <n v="0.3"/>
    <n v="30"/>
    <n v="9"/>
    <n v="46268.655147939811"/>
    <x v="3"/>
  </r>
  <r>
    <n v="1000004387"/>
    <s v="Northwood Childrens Services"/>
    <n v="1000003249"/>
    <x v="32"/>
    <s v="SNP"/>
    <x v="0"/>
    <x v="0"/>
    <n v="0"/>
    <s v="APPR"/>
    <x v="0"/>
    <x v="0"/>
    <x v="4"/>
    <x v="1"/>
    <m/>
    <x v="3"/>
    <x v="0"/>
    <s v="Resolved"/>
    <n v="2.63"/>
    <n v="84"/>
    <n v="220.92"/>
    <n v="46268.655147939811"/>
    <x v="6"/>
  </r>
  <r>
    <n v="1000004387"/>
    <s v="Northwood Childrens Services"/>
    <n v="1000003249"/>
    <x v="32"/>
    <s v="SNP"/>
    <x v="0"/>
    <x v="0"/>
    <n v="0"/>
    <s v="APPR"/>
    <x v="1"/>
    <x v="0"/>
    <x v="0"/>
    <x v="1"/>
    <m/>
    <x v="2"/>
    <x v="0"/>
    <s v="Resolved"/>
    <n v="0.125"/>
    <n v="1358"/>
    <n v="169.75"/>
    <n v="46268.655147939811"/>
    <x v="3"/>
  </r>
  <r>
    <n v="1000004387"/>
    <s v="Northwood Childrens Services"/>
    <n v="1000003249"/>
    <x v="32"/>
    <s v="SNP"/>
    <x v="0"/>
    <x v="0"/>
    <n v="0"/>
    <s v="APPR"/>
    <x v="1"/>
    <x v="0"/>
    <x v="3"/>
    <x v="1"/>
    <m/>
    <x v="2"/>
    <x v="0"/>
    <s v="Resolved"/>
    <n v="0.52500000000000002"/>
    <n v="96"/>
    <n v="50.4"/>
    <n v="46268.655147939811"/>
    <x v="3"/>
  </r>
  <r>
    <n v="1000004387"/>
    <s v="Northwood Childrens Services"/>
    <n v="1000003249"/>
    <x v="32"/>
    <s v="SNP"/>
    <x v="0"/>
    <x v="0"/>
    <n v="0"/>
    <s v="APPR"/>
    <x v="1"/>
    <x v="0"/>
    <x v="4"/>
    <x v="1"/>
    <m/>
    <x v="2"/>
    <x v="0"/>
    <s v="Resolved"/>
    <n v="4.4349999999999996"/>
    <n v="218"/>
    <n v="966.83"/>
    <n v="46268.655147939811"/>
    <x v="3"/>
  </r>
  <r>
    <n v="1000004379"/>
    <s v="Ramsey County Community Corrections Dept"/>
    <n v="1000003229"/>
    <x v="33"/>
    <s v="SNP"/>
    <x v="0"/>
    <x v="0"/>
    <n v="0"/>
    <s v="APPR"/>
    <x v="2"/>
    <x v="0"/>
    <x v="0"/>
    <x v="0"/>
    <m/>
    <x v="1"/>
    <x v="4"/>
    <s v="Resolved"/>
    <n v="1.3"/>
    <n v="140"/>
    <n v="182"/>
    <n v="46268.655147939811"/>
    <x v="4"/>
  </r>
  <r>
    <n v="1000004379"/>
    <s v="Ramsey County Community Corrections Dept"/>
    <n v="1000003229"/>
    <x v="33"/>
    <s v="SNP"/>
    <x v="0"/>
    <x v="0"/>
    <n v="0"/>
    <s v="APPR"/>
    <x v="0"/>
    <x v="0"/>
    <x v="0"/>
    <x v="0"/>
    <m/>
    <x v="0"/>
    <x v="0"/>
    <s v="Resolved"/>
    <n v="3.05"/>
    <n v="196"/>
    <n v="597.79999999999995"/>
    <n v="46268.655147939811"/>
    <x v="0"/>
  </r>
  <r>
    <n v="1000004379"/>
    <s v="Ramsey County Community Corrections Dept"/>
    <n v="1000003229"/>
    <x v="33"/>
    <s v="SNP"/>
    <x v="0"/>
    <x v="0"/>
    <n v="0"/>
    <s v="APPR"/>
    <x v="1"/>
    <x v="0"/>
    <x v="0"/>
    <x v="0"/>
    <m/>
    <x v="1"/>
    <x v="1"/>
    <s v="Resolved"/>
    <n v="4.3099999999999996"/>
    <n v="191"/>
    <n v="823.21"/>
    <n v="46268.655147939811"/>
    <x v="1"/>
  </r>
  <r>
    <n v="1000004379"/>
    <s v="Ramsey County Community Corrections Dept"/>
    <n v="1000003229"/>
    <x v="33"/>
    <s v="SNP"/>
    <x v="0"/>
    <x v="0"/>
    <n v="0"/>
    <s v="APPR"/>
    <x v="1"/>
    <x v="0"/>
    <x v="1"/>
    <x v="0"/>
    <m/>
    <x v="1"/>
    <x v="2"/>
    <s v="Resolved"/>
    <n v="0.09"/>
    <n v="191"/>
    <n v="17.190000000000001"/>
    <n v="46268.655147939811"/>
    <x v="2"/>
  </r>
  <r>
    <n v="1000004379"/>
    <s v="Ramsey County Community Corrections Dept"/>
    <n v="1000003229"/>
    <x v="33"/>
    <s v="SNP"/>
    <x v="0"/>
    <x v="0"/>
    <n v="0"/>
    <s v="APPR"/>
    <x v="1"/>
    <x v="0"/>
    <x v="2"/>
    <x v="0"/>
    <m/>
    <x v="1"/>
    <x v="3"/>
    <s v="Resolved"/>
    <n v="0.47"/>
    <n v="191"/>
    <n v="89.77"/>
    <n v="46268.655147939811"/>
    <x v="1"/>
  </r>
  <r>
    <n v="1000004379"/>
    <s v="Ramsey County Community Corrections Dept"/>
    <n v="1000003229"/>
    <x v="33"/>
    <s v="SNP"/>
    <x v="0"/>
    <x v="0"/>
    <n v="0"/>
    <s v="APPR"/>
    <x v="1"/>
    <x v="0"/>
    <x v="0"/>
    <x v="1"/>
    <m/>
    <x v="2"/>
    <x v="0"/>
    <s v="Resolved"/>
    <n v="0.125"/>
    <n v="191"/>
    <n v="23.87"/>
    <n v="46268.655147939811"/>
    <x v="3"/>
  </r>
  <r>
    <n v="1000003885"/>
    <s v="Richfield ISD #280"/>
    <n v="9000017496"/>
    <x v="34"/>
    <s v="SNP"/>
    <x v="0"/>
    <x v="0"/>
    <n v="0"/>
    <s v="APPR"/>
    <x v="0"/>
    <x v="0"/>
    <x v="0"/>
    <x v="0"/>
    <m/>
    <x v="0"/>
    <x v="0"/>
    <s v="Resolved"/>
    <n v="3.05"/>
    <n v="58"/>
    <n v="176.9"/>
    <n v="46268.655147939811"/>
    <x v="0"/>
  </r>
  <r>
    <n v="1000003885"/>
    <s v="Richfield ISD #280"/>
    <n v="9000017496"/>
    <x v="34"/>
    <s v="SNP"/>
    <x v="0"/>
    <x v="0"/>
    <n v="0"/>
    <s v="APPR"/>
    <x v="0"/>
    <x v="0"/>
    <x v="3"/>
    <x v="0"/>
    <m/>
    <x v="0"/>
    <x v="0"/>
    <s v="Resolved"/>
    <n v="2.75"/>
    <n v="16"/>
    <n v="44"/>
    <n v="46268.655147939811"/>
    <x v="0"/>
  </r>
  <r>
    <n v="1000003885"/>
    <s v="Richfield ISD #280"/>
    <n v="9000017496"/>
    <x v="34"/>
    <s v="SNP"/>
    <x v="0"/>
    <x v="0"/>
    <n v="0"/>
    <s v="APPR"/>
    <x v="0"/>
    <x v="0"/>
    <x v="4"/>
    <x v="0"/>
    <m/>
    <x v="0"/>
    <x v="0"/>
    <s v="Resolved"/>
    <n v="0.42"/>
    <n v="22"/>
    <n v="9.24"/>
    <n v="46268.655147939811"/>
    <x v="0"/>
  </r>
  <r>
    <n v="1000003885"/>
    <s v="Richfield ISD #280"/>
    <n v="9000017496"/>
    <x v="34"/>
    <s v="SNP"/>
    <x v="0"/>
    <x v="0"/>
    <n v="0"/>
    <s v="APPR"/>
    <x v="1"/>
    <x v="0"/>
    <x v="0"/>
    <x v="0"/>
    <m/>
    <x v="1"/>
    <x v="1"/>
    <s v="Resolved"/>
    <n v="4.3099999999999996"/>
    <n v="58"/>
    <n v="249.98"/>
    <n v="46268.655147939811"/>
    <x v="5"/>
  </r>
  <r>
    <n v="1000003885"/>
    <s v="Richfield ISD #280"/>
    <n v="9000017496"/>
    <x v="34"/>
    <s v="SNP"/>
    <x v="0"/>
    <x v="0"/>
    <n v="0"/>
    <s v="APPR"/>
    <x v="1"/>
    <x v="0"/>
    <x v="1"/>
    <x v="0"/>
    <m/>
    <x v="1"/>
    <x v="2"/>
    <s v="Resolved"/>
    <n v="0.09"/>
    <n v="96"/>
    <n v="8.64"/>
    <n v="46268.655147939811"/>
    <x v="2"/>
  </r>
  <r>
    <n v="1000003885"/>
    <s v="Richfield ISD #280"/>
    <n v="9000017496"/>
    <x v="34"/>
    <s v="SNP"/>
    <x v="0"/>
    <x v="0"/>
    <n v="0"/>
    <s v="APPR"/>
    <x v="1"/>
    <x v="0"/>
    <x v="3"/>
    <x v="0"/>
    <m/>
    <x v="1"/>
    <x v="1"/>
    <s v="Resolved"/>
    <n v="3.91"/>
    <n v="16"/>
    <n v="62.56"/>
    <n v="46268.655147939811"/>
    <x v="5"/>
  </r>
  <r>
    <n v="1000003885"/>
    <s v="Richfield ISD #280"/>
    <n v="9000017496"/>
    <x v="34"/>
    <s v="SNP"/>
    <x v="0"/>
    <x v="0"/>
    <n v="0"/>
    <s v="APPR"/>
    <x v="1"/>
    <x v="0"/>
    <x v="2"/>
    <x v="0"/>
    <m/>
    <x v="1"/>
    <x v="3"/>
    <s v="Resolved"/>
    <n v="0.45"/>
    <n v="96"/>
    <n v="43.2"/>
    <n v="46268.655147939811"/>
    <x v="5"/>
  </r>
  <r>
    <n v="1000003885"/>
    <s v="Richfield ISD #280"/>
    <n v="9000017496"/>
    <x v="34"/>
    <s v="SNP"/>
    <x v="0"/>
    <x v="0"/>
    <n v="0"/>
    <s v="APPR"/>
    <x v="0"/>
    <x v="0"/>
    <x v="3"/>
    <x v="1"/>
    <m/>
    <x v="3"/>
    <x v="0"/>
    <s v="Resolved"/>
    <n v="0.3"/>
    <n v="16"/>
    <n v="4.8"/>
    <n v="46268.655147939811"/>
    <x v="3"/>
  </r>
  <r>
    <n v="1000003885"/>
    <s v="Richfield ISD #280"/>
    <n v="9000017496"/>
    <x v="34"/>
    <s v="SNP"/>
    <x v="0"/>
    <x v="0"/>
    <n v="0"/>
    <s v="APPR"/>
    <x v="0"/>
    <x v="0"/>
    <x v="4"/>
    <x v="1"/>
    <m/>
    <x v="3"/>
    <x v="0"/>
    <s v="Resolved"/>
    <n v="2.63"/>
    <n v="22"/>
    <n v="57.86"/>
    <n v="46268.655147939811"/>
    <x v="6"/>
  </r>
  <r>
    <n v="1000003885"/>
    <s v="Richfield ISD #280"/>
    <n v="9000017496"/>
    <x v="34"/>
    <s v="SNP"/>
    <x v="0"/>
    <x v="0"/>
    <n v="0"/>
    <s v="APPR"/>
    <x v="1"/>
    <x v="0"/>
    <x v="0"/>
    <x v="1"/>
    <m/>
    <x v="2"/>
    <x v="0"/>
    <s v="Resolved"/>
    <n v="0.125"/>
    <n v="58"/>
    <n v="7.25"/>
    <n v="46268.655147939811"/>
    <x v="3"/>
  </r>
  <r>
    <n v="1000003885"/>
    <s v="Richfield ISD #280"/>
    <n v="9000017496"/>
    <x v="34"/>
    <s v="SNP"/>
    <x v="0"/>
    <x v="0"/>
    <n v="0"/>
    <s v="APPR"/>
    <x v="1"/>
    <x v="0"/>
    <x v="3"/>
    <x v="1"/>
    <m/>
    <x v="2"/>
    <x v="0"/>
    <s v="Resolved"/>
    <n v="0.52500000000000002"/>
    <n v="16"/>
    <n v="8.4"/>
    <n v="46268.655147939811"/>
    <x v="3"/>
  </r>
  <r>
    <n v="1000003885"/>
    <s v="Richfield ISD #280"/>
    <n v="9000017496"/>
    <x v="34"/>
    <s v="SNP"/>
    <x v="0"/>
    <x v="0"/>
    <n v="0"/>
    <s v="APPR"/>
    <x v="1"/>
    <x v="0"/>
    <x v="4"/>
    <x v="1"/>
    <m/>
    <x v="2"/>
    <x v="0"/>
    <s v="Resolved"/>
    <n v="4.4349999999999996"/>
    <n v="22"/>
    <n v="97.57"/>
    <n v="46268.655147939811"/>
    <x v="3"/>
  </r>
  <r>
    <n v="1000003701"/>
    <s v="Rochester ISD #535"/>
    <n v="1000001934"/>
    <x v="35"/>
    <s v="SNP"/>
    <x v="0"/>
    <x v="0"/>
    <n v="0"/>
    <s v="APPR"/>
    <x v="0"/>
    <x v="0"/>
    <x v="0"/>
    <x v="0"/>
    <m/>
    <x v="0"/>
    <x v="0"/>
    <s v="Resolved"/>
    <n v="3.05"/>
    <n v="172"/>
    <n v="524.6"/>
    <n v="46268.655147939811"/>
    <x v="0"/>
  </r>
  <r>
    <n v="1000003701"/>
    <s v="Rochester ISD #535"/>
    <n v="1000001934"/>
    <x v="35"/>
    <s v="SNP"/>
    <x v="0"/>
    <x v="0"/>
    <n v="0"/>
    <s v="APPR"/>
    <x v="0"/>
    <x v="0"/>
    <x v="3"/>
    <x v="0"/>
    <m/>
    <x v="0"/>
    <x v="0"/>
    <s v="Resolved"/>
    <n v="2.75"/>
    <n v="207"/>
    <n v="569.25"/>
    <n v="46268.655147939811"/>
    <x v="0"/>
  </r>
  <r>
    <n v="1000003701"/>
    <s v="Rochester ISD #535"/>
    <n v="1000001934"/>
    <x v="35"/>
    <s v="SNP"/>
    <x v="0"/>
    <x v="0"/>
    <n v="0"/>
    <s v="APPR"/>
    <x v="0"/>
    <x v="0"/>
    <x v="4"/>
    <x v="0"/>
    <m/>
    <x v="0"/>
    <x v="0"/>
    <s v="Resolved"/>
    <n v="0.42"/>
    <n v="204"/>
    <n v="85.68"/>
    <n v="46268.655147939811"/>
    <x v="0"/>
  </r>
  <r>
    <n v="1000003701"/>
    <s v="Rochester ISD #535"/>
    <n v="1000001934"/>
    <x v="35"/>
    <s v="SNP"/>
    <x v="0"/>
    <x v="0"/>
    <n v="0"/>
    <s v="APPR"/>
    <x v="1"/>
    <x v="0"/>
    <x v="0"/>
    <x v="0"/>
    <m/>
    <x v="1"/>
    <x v="1"/>
    <s v="Resolved"/>
    <n v="4.3099999999999996"/>
    <n v="439"/>
    <n v="1892.09"/>
    <n v="46268.655147939811"/>
    <x v="5"/>
  </r>
  <r>
    <n v="1000003701"/>
    <s v="Rochester ISD #535"/>
    <n v="1000001934"/>
    <x v="35"/>
    <s v="SNP"/>
    <x v="0"/>
    <x v="0"/>
    <n v="0"/>
    <s v="APPR"/>
    <x v="1"/>
    <x v="0"/>
    <x v="1"/>
    <x v="0"/>
    <m/>
    <x v="1"/>
    <x v="2"/>
    <s v="Resolved"/>
    <n v="0.09"/>
    <n v="1395"/>
    <n v="125.55"/>
    <n v="46268.655147939811"/>
    <x v="2"/>
  </r>
  <r>
    <n v="1000003701"/>
    <s v="Rochester ISD #535"/>
    <n v="1000001934"/>
    <x v="35"/>
    <s v="SNP"/>
    <x v="0"/>
    <x v="0"/>
    <n v="0"/>
    <s v="APPR"/>
    <x v="1"/>
    <x v="0"/>
    <x v="3"/>
    <x v="0"/>
    <m/>
    <x v="1"/>
    <x v="1"/>
    <s v="Resolved"/>
    <n v="3.91"/>
    <n v="255"/>
    <n v="997.05"/>
    <n v="46268.655147939811"/>
    <x v="5"/>
  </r>
  <r>
    <n v="1000003701"/>
    <s v="Rochester ISD #535"/>
    <n v="1000001934"/>
    <x v="35"/>
    <s v="SNP"/>
    <x v="0"/>
    <x v="0"/>
    <n v="0"/>
    <s v="APPR"/>
    <x v="1"/>
    <x v="0"/>
    <x v="2"/>
    <x v="0"/>
    <m/>
    <x v="1"/>
    <x v="3"/>
    <s v="Resolved"/>
    <n v="0.45"/>
    <n v="1395"/>
    <n v="627.75"/>
    <n v="46268.655147939811"/>
    <x v="5"/>
  </r>
  <r>
    <n v="1000003701"/>
    <s v="Rochester ISD #535"/>
    <n v="1000001934"/>
    <x v="35"/>
    <s v="SNP"/>
    <x v="0"/>
    <x v="0"/>
    <n v="0"/>
    <s v="APPR"/>
    <x v="0"/>
    <x v="0"/>
    <x v="3"/>
    <x v="1"/>
    <m/>
    <x v="3"/>
    <x v="0"/>
    <s v="Resolved"/>
    <n v="0.3"/>
    <n v="207"/>
    <n v="62.1"/>
    <n v="46268.655147939811"/>
    <x v="3"/>
  </r>
  <r>
    <n v="1000003701"/>
    <s v="Rochester ISD #535"/>
    <n v="1000001934"/>
    <x v="35"/>
    <s v="SNP"/>
    <x v="0"/>
    <x v="0"/>
    <n v="0"/>
    <s v="APPR"/>
    <x v="0"/>
    <x v="0"/>
    <x v="4"/>
    <x v="1"/>
    <m/>
    <x v="3"/>
    <x v="0"/>
    <s v="Resolved"/>
    <n v="2.63"/>
    <n v="204"/>
    <n v="536.52"/>
    <n v="46268.655147939811"/>
    <x v="6"/>
  </r>
  <r>
    <n v="1000003701"/>
    <s v="Rochester ISD #535"/>
    <n v="1000001934"/>
    <x v="35"/>
    <s v="SNP"/>
    <x v="0"/>
    <x v="0"/>
    <n v="0"/>
    <s v="APPR"/>
    <x v="1"/>
    <x v="0"/>
    <x v="0"/>
    <x v="1"/>
    <m/>
    <x v="2"/>
    <x v="0"/>
    <s v="Resolved"/>
    <n v="0.125"/>
    <n v="439"/>
    <n v="54.87"/>
    <n v="46268.655147939811"/>
    <x v="3"/>
  </r>
  <r>
    <n v="1000003701"/>
    <s v="Rochester ISD #535"/>
    <n v="1000001934"/>
    <x v="35"/>
    <s v="SNP"/>
    <x v="0"/>
    <x v="0"/>
    <n v="0"/>
    <s v="APPR"/>
    <x v="1"/>
    <x v="0"/>
    <x v="3"/>
    <x v="1"/>
    <m/>
    <x v="2"/>
    <x v="0"/>
    <s v="Resolved"/>
    <n v="0.52500000000000002"/>
    <n v="255"/>
    <n v="133.87"/>
    <n v="46268.655147939811"/>
    <x v="3"/>
  </r>
  <r>
    <n v="1000003701"/>
    <s v="Rochester ISD #535"/>
    <n v="1000001934"/>
    <x v="35"/>
    <s v="SNP"/>
    <x v="0"/>
    <x v="0"/>
    <n v="0"/>
    <s v="APPR"/>
    <x v="1"/>
    <x v="0"/>
    <x v="4"/>
    <x v="1"/>
    <m/>
    <x v="2"/>
    <x v="0"/>
    <s v="Resolved"/>
    <n v="4.4349999999999996"/>
    <n v="701"/>
    <n v="3108.93"/>
    <n v="46268.655147939811"/>
    <x v="3"/>
  </r>
  <r>
    <n v="1000003983"/>
    <s v="Roseville ISD #623"/>
    <n v="1000003110"/>
    <x v="36"/>
    <s v="SNP"/>
    <x v="0"/>
    <x v="0"/>
    <n v="0"/>
    <s v="APPR"/>
    <x v="0"/>
    <x v="0"/>
    <x v="0"/>
    <x v="0"/>
    <m/>
    <x v="0"/>
    <x v="0"/>
    <s v="Resolved"/>
    <n v="3.05"/>
    <n v="1164"/>
    <n v="3550.2"/>
    <n v="46268.655147939811"/>
    <x v="0"/>
  </r>
  <r>
    <n v="1000003983"/>
    <s v="Roseville ISD #623"/>
    <n v="1000003110"/>
    <x v="36"/>
    <s v="SNP"/>
    <x v="0"/>
    <x v="0"/>
    <n v="0"/>
    <s v="APPR"/>
    <x v="0"/>
    <x v="0"/>
    <x v="4"/>
    <x v="0"/>
    <m/>
    <x v="0"/>
    <x v="0"/>
    <s v="Resolved"/>
    <n v="0.42"/>
    <n v="167"/>
    <n v="70.14"/>
    <n v="46268.655147939811"/>
    <x v="0"/>
  </r>
  <r>
    <n v="1000003983"/>
    <s v="Roseville ISD #623"/>
    <n v="1000003110"/>
    <x v="36"/>
    <s v="SNP"/>
    <x v="0"/>
    <x v="0"/>
    <n v="0"/>
    <s v="APPR"/>
    <x v="1"/>
    <x v="0"/>
    <x v="0"/>
    <x v="0"/>
    <m/>
    <x v="1"/>
    <x v="1"/>
    <s v="Resolved"/>
    <n v="4.3099999999999996"/>
    <n v="2575"/>
    <n v="11098.25"/>
    <n v="46268.655147939811"/>
    <x v="5"/>
  </r>
  <r>
    <n v="1000003983"/>
    <s v="Roseville ISD #623"/>
    <n v="1000003110"/>
    <x v="36"/>
    <s v="SNP"/>
    <x v="0"/>
    <x v="0"/>
    <n v="0"/>
    <s v="APPR"/>
    <x v="1"/>
    <x v="0"/>
    <x v="1"/>
    <x v="0"/>
    <m/>
    <x v="1"/>
    <x v="2"/>
    <s v="Resolved"/>
    <n v="0.09"/>
    <n v="2945"/>
    <n v="265.05"/>
    <n v="46268.655147939811"/>
    <x v="2"/>
  </r>
  <r>
    <n v="1000003983"/>
    <s v="Roseville ISD #623"/>
    <n v="1000003110"/>
    <x v="36"/>
    <s v="SNP"/>
    <x v="0"/>
    <x v="0"/>
    <n v="0"/>
    <s v="APPR"/>
    <x v="1"/>
    <x v="0"/>
    <x v="2"/>
    <x v="0"/>
    <m/>
    <x v="1"/>
    <x v="3"/>
    <s v="Resolved"/>
    <n v="0.45"/>
    <n v="2945"/>
    <n v="1325.25"/>
    <n v="46268.655147939811"/>
    <x v="5"/>
  </r>
  <r>
    <n v="1000003983"/>
    <s v="Roseville ISD #623"/>
    <n v="1000003110"/>
    <x v="36"/>
    <s v="SNP"/>
    <x v="0"/>
    <x v="0"/>
    <n v="0"/>
    <s v="APPR"/>
    <x v="0"/>
    <x v="0"/>
    <x v="4"/>
    <x v="1"/>
    <m/>
    <x v="3"/>
    <x v="0"/>
    <s v="Resolved"/>
    <n v="2.63"/>
    <n v="167"/>
    <n v="439.21"/>
    <n v="46268.655147939811"/>
    <x v="6"/>
  </r>
  <r>
    <n v="1000003983"/>
    <s v="Roseville ISD #623"/>
    <n v="1000003110"/>
    <x v="36"/>
    <s v="SNP"/>
    <x v="0"/>
    <x v="0"/>
    <n v="0"/>
    <s v="APPR"/>
    <x v="1"/>
    <x v="0"/>
    <x v="0"/>
    <x v="1"/>
    <m/>
    <x v="2"/>
    <x v="0"/>
    <s v="Resolved"/>
    <n v="0.125"/>
    <n v="2575"/>
    <n v="321.87"/>
    <n v="46268.655147939811"/>
    <x v="3"/>
  </r>
  <r>
    <n v="1000003983"/>
    <s v="Roseville ISD #623"/>
    <n v="1000003110"/>
    <x v="36"/>
    <s v="SNP"/>
    <x v="0"/>
    <x v="0"/>
    <n v="0"/>
    <s v="APPR"/>
    <x v="1"/>
    <x v="0"/>
    <x v="4"/>
    <x v="1"/>
    <m/>
    <x v="2"/>
    <x v="0"/>
    <s v="Resolved"/>
    <n v="4.4349999999999996"/>
    <n v="370"/>
    <n v="1640.95"/>
    <n v="46268.655147939811"/>
    <x v="3"/>
  </r>
  <r>
    <n v="1000003983"/>
    <s v="Roseville ISD #623"/>
    <n v="1000002804"/>
    <x v="37"/>
    <s v="SNP"/>
    <x v="0"/>
    <x v="0"/>
    <n v="0"/>
    <s v="APPR"/>
    <x v="0"/>
    <x v="0"/>
    <x v="0"/>
    <x v="0"/>
    <m/>
    <x v="0"/>
    <x v="0"/>
    <s v="Resolved"/>
    <n v="2.54"/>
    <n v="16"/>
    <n v="40.64"/>
    <n v="46268.655147939811"/>
    <x v="7"/>
  </r>
  <r>
    <n v="1000003983"/>
    <s v="Roseville ISD #623"/>
    <n v="1000002804"/>
    <x v="37"/>
    <s v="SNP"/>
    <x v="0"/>
    <x v="0"/>
    <n v="0"/>
    <s v="APPR"/>
    <x v="0"/>
    <x v="0"/>
    <x v="4"/>
    <x v="0"/>
    <m/>
    <x v="0"/>
    <x v="0"/>
    <s v="Resolved"/>
    <n v="0.42"/>
    <n v="8"/>
    <n v="3.36"/>
    <n v="46268.655147939811"/>
    <x v="7"/>
  </r>
  <r>
    <n v="1000003983"/>
    <s v="Roseville ISD #623"/>
    <n v="1000002804"/>
    <x v="37"/>
    <s v="SNP"/>
    <x v="0"/>
    <x v="0"/>
    <n v="0"/>
    <s v="APPR"/>
    <x v="1"/>
    <x v="0"/>
    <x v="0"/>
    <x v="0"/>
    <m/>
    <x v="1"/>
    <x v="1"/>
    <s v="Resolved"/>
    <n v="4.3099999999999996"/>
    <n v="17"/>
    <n v="73.27"/>
    <n v="46268.655147939811"/>
    <x v="5"/>
  </r>
  <r>
    <n v="1000003983"/>
    <s v="Roseville ISD #623"/>
    <n v="1000002804"/>
    <x v="37"/>
    <s v="SNP"/>
    <x v="0"/>
    <x v="0"/>
    <n v="0"/>
    <s v="APPR"/>
    <x v="1"/>
    <x v="0"/>
    <x v="1"/>
    <x v="0"/>
    <m/>
    <x v="1"/>
    <x v="2"/>
    <s v="Resolved"/>
    <n v="0.09"/>
    <n v="29"/>
    <n v="2.61"/>
    <n v="46268.655147939811"/>
    <x v="2"/>
  </r>
  <r>
    <n v="1000003983"/>
    <s v="Roseville ISD #623"/>
    <n v="1000002804"/>
    <x v="37"/>
    <s v="SNP"/>
    <x v="0"/>
    <x v="0"/>
    <n v="0"/>
    <s v="APPR"/>
    <x v="1"/>
    <x v="0"/>
    <x v="2"/>
    <x v="0"/>
    <m/>
    <x v="1"/>
    <x v="3"/>
    <s v="Resolved"/>
    <n v="0.45"/>
    <n v="29"/>
    <n v="13.05"/>
    <n v="46268.655147939811"/>
    <x v="5"/>
  </r>
  <r>
    <n v="1000003983"/>
    <s v="Roseville ISD #623"/>
    <n v="1000002804"/>
    <x v="37"/>
    <s v="SNP"/>
    <x v="0"/>
    <x v="0"/>
    <n v="0"/>
    <s v="APPR"/>
    <x v="0"/>
    <x v="0"/>
    <x v="4"/>
    <x v="1"/>
    <m/>
    <x v="3"/>
    <x v="0"/>
    <s v="Resolved"/>
    <n v="2.12"/>
    <n v="8"/>
    <n v="16.96"/>
    <n v="46268.655147939811"/>
    <x v="8"/>
  </r>
  <r>
    <n v="1000003983"/>
    <s v="Roseville ISD #623"/>
    <n v="1000002804"/>
    <x v="37"/>
    <s v="SNP"/>
    <x v="0"/>
    <x v="0"/>
    <n v="0"/>
    <s v="APPR"/>
    <x v="1"/>
    <x v="0"/>
    <x v="0"/>
    <x v="1"/>
    <m/>
    <x v="2"/>
    <x v="0"/>
    <s v="Resolved"/>
    <n v="0.125"/>
    <n v="17"/>
    <n v="2.12"/>
    <n v="46268.655147939811"/>
    <x v="3"/>
  </r>
  <r>
    <n v="1000003983"/>
    <s v="Roseville ISD #623"/>
    <n v="1000002804"/>
    <x v="37"/>
    <s v="SNP"/>
    <x v="0"/>
    <x v="0"/>
    <n v="0"/>
    <s v="APPR"/>
    <x v="1"/>
    <x v="0"/>
    <x v="4"/>
    <x v="1"/>
    <m/>
    <x v="2"/>
    <x v="0"/>
    <s v="Resolved"/>
    <n v="4.4349999999999996"/>
    <n v="12"/>
    <n v="53.22"/>
    <n v="46268.655147939811"/>
    <x v="3"/>
  </r>
  <r>
    <n v="1000003983"/>
    <s v="Roseville ISD #623"/>
    <n v="1000002022"/>
    <x v="38"/>
    <s v="SNP"/>
    <x v="0"/>
    <x v="0"/>
    <n v="0"/>
    <s v="APPR"/>
    <x v="0"/>
    <x v="0"/>
    <x v="0"/>
    <x v="0"/>
    <m/>
    <x v="0"/>
    <x v="0"/>
    <s v="Resolved"/>
    <n v="3.05"/>
    <n v="65"/>
    <n v="198.25"/>
    <n v="46268.655147939811"/>
    <x v="0"/>
  </r>
  <r>
    <n v="1000003983"/>
    <s v="Roseville ISD #623"/>
    <n v="1000002022"/>
    <x v="38"/>
    <s v="SNP"/>
    <x v="0"/>
    <x v="0"/>
    <n v="0"/>
    <s v="APPR"/>
    <x v="0"/>
    <x v="0"/>
    <x v="3"/>
    <x v="0"/>
    <m/>
    <x v="0"/>
    <x v="0"/>
    <s v="Resolved"/>
    <n v="2.75"/>
    <n v="13"/>
    <n v="35.75"/>
    <n v="46268.655147939811"/>
    <x v="0"/>
  </r>
  <r>
    <n v="1000003983"/>
    <s v="Roseville ISD #623"/>
    <n v="1000002022"/>
    <x v="38"/>
    <s v="SNP"/>
    <x v="0"/>
    <x v="0"/>
    <n v="0"/>
    <s v="APPR"/>
    <x v="0"/>
    <x v="0"/>
    <x v="4"/>
    <x v="0"/>
    <m/>
    <x v="0"/>
    <x v="0"/>
    <s v="Resolved"/>
    <n v="0.42"/>
    <n v="105"/>
    <n v="44.1"/>
    <n v="46268.655147939811"/>
    <x v="0"/>
  </r>
  <r>
    <n v="1000003983"/>
    <s v="Roseville ISD #623"/>
    <n v="1000002022"/>
    <x v="38"/>
    <s v="SNP"/>
    <x v="0"/>
    <x v="0"/>
    <n v="0"/>
    <s v="APPR"/>
    <x v="1"/>
    <x v="0"/>
    <x v="0"/>
    <x v="0"/>
    <m/>
    <x v="1"/>
    <x v="1"/>
    <s v="Resolved"/>
    <n v="4.3099999999999996"/>
    <n v="64"/>
    <n v="275.83999999999997"/>
    <n v="46268.655147939811"/>
    <x v="5"/>
  </r>
  <r>
    <n v="1000003983"/>
    <s v="Roseville ISD #623"/>
    <n v="1000002022"/>
    <x v="38"/>
    <s v="SNP"/>
    <x v="0"/>
    <x v="0"/>
    <n v="0"/>
    <s v="APPR"/>
    <x v="1"/>
    <x v="0"/>
    <x v="1"/>
    <x v="0"/>
    <m/>
    <x v="1"/>
    <x v="2"/>
    <s v="Resolved"/>
    <n v="0.09"/>
    <n v="182"/>
    <n v="16.38"/>
    <n v="46268.655147939811"/>
    <x v="2"/>
  </r>
  <r>
    <n v="1000003983"/>
    <s v="Roseville ISD #623"/>
    <n v="1000002022"/>
    <x v="38"/>
    <s v="SNP"/>
    <x v="0"/>
    <x v="0"/>
    <n v="0"/>
    <s v="APPR"/>
    <x v="1"/>
    <x v="0"/>
    <x v="3"/>
    <x v="0"/>
    <m/>
    <x v="1"/>
    <x v="1"/>
    <s v="Resolved"/>
    <n v="3.91"/>
    <n v="14"/>
    <n v="54.74"/>
    <n v="46268.655147939811"/>
    <x v="5"/>
  </r>
  <r>
    <n v="1000003983"/>
    <s v="Roseville ISD #623"/>
    <n v="1000002022"/>
    <x v="38"/>
    <s v="SNP"/>
    <x v="0"/>
    <x v="0"/>
    <n v="0"/>
    <s v="APPR"/>
    <x v="1"/>
    <x v="0"/>
    <x v="2"/>
    <x v="0"/>
    <m/>
    <x v="1"/>
    <x v="3"/>
    <s v="Resolved"/>
    <n v="0.45"/>
    <n v="182"/>
    <n v="81.900000000000006"/>
    <n v="46268.655147939811"/>
    <x v="5"/>
  </r>
  <r>
    <n v="1000003983"/>
    <s v="Roseville ISD #623"/>
    <n v="1000002022"/>
    <x v="38"/>
    <s v="SNP"/>
    <x v="0"/>
    <x v="0"/>
    <n v="0"/>
    <s v="APPR"/>
    <x v="0"/>
    <x v="0"/>
    <x v="3"/>
    <x v="1"/>
    <m/>
    <x v="3"/>
    <x v="0"/>
    <s v="Resolved"/>
    <n v="0.3"/>
    <n v="13"/>
    <n v="3.9"/>
    <n v="46268.655147939811"/>
    <x v="3"/>
  </r>
  <r>
    <n v="1000003983"/>
    <s v="Roseville ISD #623"/>
    <n v="1000002022"/>
    <x v="38"/>
    <s v="SNP"/>
    <x v="0"/>
    <x v="0"/>
    <n v="0"/>
    <s v="APPR"/>
    <x v="0"/>
    <x v="0"/>
    <x v="4"/>
    <x v="1"/>
    <m/>
    <x v="3"/>
    <x v="0"/>
    <s v="Resolved"/>
    <n v="2.63"/>
    <n v="105"/>
    <n v="276.14999999999998"/>
    <n v="46268.655147939811"/>
    <x v="6"/>
  </r>
  <r>
    <n v="1000003983"/>
    <s v="Roseville ISD #623"/>
    <n v="1000002022"/>
    <x v="38"/>
    <s v="SNP"/>
    <x v="0"/>
    <x v="0"/>
    <n v="0"/>
    <s v="APPR"/>
    <x v="1"/>
    <x v="0"/>
    <x v="0"/>
    <x v="1"/>
    <m/>
    <x v="2"/>
    <x v="0"/>
    <s v="Resolved"/>
    <n v="0.125"/>
    <n v="64"/>
    <n v="8"/>
    <n v="46268.655147939811"/>
    <x v="3"/>
  </r>
  <r>
    <n v="1000003983"/>
    <s v="Roseville ISD #623"/>
    <n v="1000002022"/>
    <x v="38"/>
    <s v="SNP"/>
    <x v="0"/>
    <x v="0"/>
    <n v="0"/>
    <s v="APPR"/>
    <x v="1"/>
    <x v="0"/>
    <x v="3"/>
    <x v="1"/>
    <m/>
    <x v="2"/>
    <x v="0"/>
    <s v="Resolved"/>
    <n v="0.52500000000000002"/>
    <n v="14"/>
    <n v="7.35"/>
    <n v="46268.655147939811"/>
    <x v="3"/>
  </r>
  <r>
    <n v="1000003983"/>
    <s v="Roseville ISD #623"/>
    <n v="1000002022"/>
    <x v="38"/>
    <s v="SNP"/>
    <x v="0"/>
    <x v="0"/>
    <n v="0"/>
    <s v="APPR"/>
    <x v="1"/>
    <x v="0"/>
    <x v="4"/>
    <x v="1"/>
    <m/>
    <x v="2"/>
    <x v="0"/>
    <s v="Resolved"/>
    <n v="4.4349999999999996"/>
    <n v="104"/>
    <n v="461.24"/>
    <n v="46268.655147939811"/>
    <x v="3"/>
  </r>
  <r>
    <n v="1000004011"/>
    <s v="Shakopee ISD #720"/>
    <n v="1000002271"/>
    <x v="39"/>
    <s v="SNP"/>
    <x v="0"/>
    <x v="0"/>
    <n v="0"/>
    <s v="APPR"/>
    <x v="0"/>
    <x v="0"/>
    <x v="0"/>
    <x v="0"/>
    <m/>
    <x v="0"/>
    <x v="0"/>
    <s v="Resolved"/>
    <n v="3.05"/>
    <n v="359"/>
    <n v="1094.95"/>
    <n v="46268.655147939811"/>
    <x v="0"/>
  </r>
  <r>
    <n v="1000004011"/>
    <s v="Shakopee ISD #720"/>
    <n v="1000002271"/>
    <x v="39"/>
    <s v="SNP"/>
    <x v="0"/>
    <x v="0"/>
    <n v="0"/>
    <s v="APPR"/>
    <x v="0"/>
    <x v="0"/>
    <x v="3"/>
    <x v="0"/>
    <m/>
    <x v="0"/>
    <x v="0"/>
    <s v="Resolved"/>
    <n v="2.75"/>
    <n v="66"/>
    <n v="181.5"/>
    <n v="46268.655147939811"/>
    <x v="0"/>
  </r>
  <r>
    <n v="1000004011"/>
    <s v="Shakopee ISD #720"/>
    <n v="1000002271"/>
    <x v="39"/>
    <s v="SNP"/>
    <x v="0"/>
    <x v="0"/>
    <n v="0"/>
    <s v="APPR"/>
    <x v="0"/>
    <x v="0"/>
    <x v="4"/>
    <x v="0"/>
    <m/>
    <x v="0"/>
    <x v="0"/>
    <s v="Resolved"/>
    <n v="0.42"/>
    <n v="471"/>
    <n v="197.82"/>
    <n v="46268.655147939811"/>
    <x v="0"/>
  </r>
  <r>
    <n v="1000004011"/>
    <s v="Shakopee ISD #720"/>
    <n v="1000002271"/>
    <x v="39"/>
    <s v="SNP"/>
    <x v="0"/>
    <x v="0"/>
    <n v="0"/>
    <s v="APPR"/>
    <x v="1"/>
    <x v="0"/>
    <x v="0"/>
    <x v="0"/>
    <m/>
    <x v="1"/>
    <x v="1"/>
    <s v="Resolved"/>
    <n v="4.3099999999999996"/>
    <n v="614"/>
    <n v="2646.34"/>
    <n v="46268.655147939811"/>
    <x v="5"/>
  </r>
  <r>
    <n v="1000004011"/>
    <s v="Shakopee ISD #720"/>
    <n v="1000002271"/>
    <x v="39"/>
    <s v="SNP"/>
    <x v="0"/>
    <x v="0"/>
    <n v="0"/>
    <s v="APPR"/>
    <x v="1"/>
    <x v="0"/>
    <x v="1"/>
    <x v="0"/>
    <m/>
    <x v="1"/>
    <x v="2"/>
    <s v="Resolved"/>
    <n v="0.09"/>
    <n v="1558"/>
    <n v="140.22"/>
    <n v="46268.655147939811"/>
    <x v="2"/>
  </r>
  <r>
    <n v="1000004011"/>
    <s v="Shakopee ISD #720"/>
    <n v="1000002271"/>
    <x v="39"/>
    <s v="SNP"/>
    <x v="0"/>
    <x v="0"/>
    <n v="0"/>
    <s v="APPR"/>
    <x v="1"/>
    <x v="0"/>
    <x v="3"/>
    <x v="0"/>
    <m/>
    <x v="1"/>
    <x v="1"/>
    <s v="Resolved"/>
    <n v="3.91"/>
    <n v="140"/>
    <n v="547.4"/>
    <n v="46268.655147939811"/>
    <x v="5"/>
  </r>
  <r>
    <n v="1000004011"/>
    <s v="Shakopee ISD #720"/>
    <n v="1000002271"/>
    <x v="39"/>
    <s v="SNP"/>
    <x v="0"/>
    <x v="0"/>
    <n v="0"/>
    <s v="APPR"/>
    <x v="1"/>
    <x v="0"/>
    <x v="2"/>
    <x v="0"/>
    <m/>
    <x v="1"/>
    <x v="3"/>
    <s v="Resolved"/>
    <n v="0.45"/>
    <n v="1558"/>
    <n v="701.1"/>
    <n v="46268.655147939811"/>
    <x v="5"/>
  </r>
  <r>
    <n v="1000004011"/>
    <s v="Shakopee ISD #720"/>
    <n v="1000002271"/>
    <x v="39"/>
    <s v="SNP"/>
    <x v="0"/>
    <x v="0"/>
    <n v="0"/>
    <s v="APPR"/>
    <x v="0"/>
    <x v="0"/>
    <x v="3"/>
    <x v="1"/>
    <m/>
    <x v="3"/>
    <x v="0"/>
    <s v="Resolved"/>
    <n v="0.3"/>
    <n v="66"/>
    <n v="19.8"/>
    <n v="46268.655147939811"/>
    <x v="3"/>
  </r>
  <r>
    <n v="1000004011"/>
    <s v="Shakopee ISD #720"/>
    <n v="1000002271"/>
    <x v="39"/>
    <s v="SNP"/>
    <x v="0"/>
    <x v="0"/>
    <n v="0"/>
    <s v="APPR"/>
    <x v="0"/>
    <x v="0"/>
    <x v="4"/>
    <x v="1"/>
    <m/>
    <x v="3"/>
    <x v="0"/>
    <s v="Resolved"/>
    <n v="2.63"/>
    <n v="471"/>
    <n v="1238.73"/>
    <n v="46268.655147939811"/>
    <x v="6"/>
  </r>
  <r>
    <n v="1000004011"/>
    <s v="Shakopee ISD #720"/>
    <n v="1000002271"/>
    <x v="39"/>
    <s v="SNP"/>
    <x v="0"/>
    <x v="0"/>
    <n v="0"/>
    <s v="APPR"/>
    <x v="1"/>
    <x v="0"/>
    <x v="0"/>
    <x v="1"/>
    <m/>
    <x v="2"/>
    <x v="0"/>
    <s v="Resolved"/>
    <n v="0.125"/>
    <n v="614"/>
    <n v="76.75"/>
    <n v="46268.655147939811"/>
    <x v="3"/>
  </r>
  <r>
    <n v="1000004011"/>
    <s v="Shakopee ISD #720"/>
    <n v="1000002271"/>
    <x v="39"/>
    <s v="SNP"/>
    <x v="0"/>
    <x v="0"/>
    <n v="0"/>
    <s v="APPR"/>
    <x v="1"/>
    <x v="0"/>
    <x v="3"/>
    <x v="1"/>
    <m/>
    <x v="2"/>
    <x v="0"/>
    <s v="Resolved"/>
    <n v="0.52500000000000002"/>
    <n v="140"/>
    <n v="73.5"/>
    <n v="46268.655147939811"/>
    <x v="3"/>
  </r>
  <r>
    <n v="1000004011"/>
    <s v="Shakopee ISD #720"/>
    <n v="1000002271"/>
    <x v="39"/>
    <s v="SNP"/>
    <x v="0"/>
    <x v="0"/>
    <n v="0"/>
    <s v="APPR"/>
    <x v="1"/>
    <x v="0"/>
    <x v="4"/>
    <x v="1"/>
    <m/>
    <x v="2"/>
    <x v="0"/>
    <s v="Resolved"/>
    <n v="4.4349999999999996"/>
    <n v="804"/>
    <n v="3565.74"/>
    <n v="46268.655147939811"/>
    <x v="3"/>
  </r>
  <r>
    <n v="1000004011"/>
    <s v="Shakopee ISD #720"/>
    <n v="1000006709"/>
    <x v="40"/>
    <s v="SNP"/>
    <x v="0"/>
    <x v="0"/>
    <n v="0"/>
    <s v="APPR"/>
    <x v="0"/>
    <x v="0"/>
    <x v="0"/>
    <x v="0"/>
    <m/>
    <x v="0"/>
    <x v="0"/>
    <s v="Resolved"/>
    <n v="2.54"/>
    <n v="496"/>
    <n v="1259.8399999999999"/>
    <n v="46268.655147939811"/>
    <x v="7"/>
  </r>
  <r>
    <n v="1000004011"/>
    <s v="Shakopee ISD #720"/>
    <n v="1000006709"/>
    <x v="40"/>
    <s v="SNP"/>
    <x v="0"/>
    <x v="0"/>
    <n v="0"/>
    <s v="APPR"/>
    <x v="0"/>
    <x v="0"/>
    <x v="3"/>
    <x v="0"/>
    <m/>
    <x v="0"/>
    <x v="0"/>
    <s v="Resolved"/>
    <n v="2.2400000000000002"/>
    <n v="103"/>
    <n v="230.72"/>
    <n v="46268.655147939811"/>
    <x v="7"/>
  </r>
  <r>
    <n v="1000004011"/>
    <s v="Shakopee ISD #720"/>
    <n v="1000006709"/>
    <x v="40"/>
    <s v="SNP"/>
    <x v="0"/>
    <x v="0"/>
    <n v="0"/>
    <s v="APPR"/>
    <x v="0"/>
    <x v="0"/>
    <x v="4"/>
    <x v="0"/>
    <m/>
    <x v="0"/>
    <x v="0"/>
    <s v="Resolved"/>
    <n v="0.42"/>
    <n v="271"/>
    <n v="113.82"/>
    <n v="46268.655147939811"/>
    <x v="7"/>
  </r>
  <r>
    <n v="1000004011"/>
    <s v="Shakopee ISD #720"/>
    <n v="1000006709"/>
    <x v="40"/>
    <s v="SNP"/>
    <x v="0"/>
    <x v="0"/>
    <n v="0"/>
    <s v="APPR"/>
    <x v="1"/>
    <x v="0"/>
    <x v="0"/>
    <x v="0"/>
    <m/>
    <x v="1"/>
    <x v="1"/>
    <s v="Resolved"/>
    <n v="4.3099999999999996"/>
    <n v="943"/>
    <n v="4064.33"/>
    <n v="46268.655147939811"/>
    <x v="5"/>
  </r>
  <r>
    <n v="1000004011"/>
    <s v="Shakopee ISD #720"/>
    <n v="1000006709"/>
    <x v="40"/>
    <s v="SNP"/>
    <x v="0"/>
    <x v="0"/>
    <n v="0"/>
    <s v="APPR"/>
    <x v="1"/>
    <x v="0"/>
    <x v="1"/>
    <x v="0"/>
    <m/>
    <x v="1"/>
    <x v="2"/>
    <s v="Resolved"/>
    <n v="0.09"/>
    <n v="1673"/>
    <n v="150.57"/>
    <n v="46268.655147939811"/>
    <x v="2"/>
  </r>
  <r>
    <n v="1000004011"/>
    <s v="Shakopee ISD #720"/>
    <n v="1000006709"/>
    <x v="40"/>
    <s v="SNP"/>
    <x v="0"/>
    <x v="0"/>
    <n v="0"/>
    <s v="APPR"/>
    <x v="1"/>
    <x v="0"/>
    <x v="3"/>
    <x v="0"/>
    <m/>
    <x v="1"/>
    <x v="1"/>
    <s v="Resolved"/>
    <n v="3.91"/>
    <n v="192"/>
    <n v="750.72"/>
    <n v="46268.655147939811"/>
    <x v="5"/>
  </r>
  <r>
    <n v="1000004011"/>
    <s v="Shakopee ISD #720"/>
    <n v="1000006709"/>
    <x v="40"/>
    <s v="SNP"/>
    <x v="0"/>
    <x v="0"/>
    <n v="0"/>
    <s v="APPR"/>
    <x v="1"/>
    <x v="0"/>
    <x v="2"/>
    <x v="0"/>
    <m/>
    <x v="1"/>
    <x v="3"/>
    <s v="Resolved"/>
    <n v="0.45"/>
    <n v="1673"/>
    <n v="752.85"/>
    <n v="46268.655147939811"/>
    <x v="5"/>
  </r>
  <r>
    <n v="1000004011"/>
    <s v="Shakopee ISD #720"/>
    <n v="1000006709"/>
    <x v="40"/>
    <s v="SNP"/>
    <x v="0"/>
    <x v="0"/>
    <n v="0"/>
    <s v="APPR"/>
    <x v="0"/>
    <x v="0"/>
    <x v="3"/>
    <x v="1"/>
    <m/>
    <x v="3"/>
    <x v="0"/>
    <s v="Resolved"/>
    <n v="0.3"/>
    <n v="103"/>
    <n v="30.9"/>
    <n v="46268.655147939811"/>
    <x v="3"/>
  </r>
  <r>
    <n v="1000004011"/>
    <s v="Shakopee ISD #720"/>
    <n v="1000006709"/>
    <x v="40"/>
    <s v="SNP"/>
    <x v="0"/>
    <x v="0"/>
    <n v="0"/>
    <s v="APPR"/>
    <x v="0"/>
    <x v="0"/>
    <x v="4"/>
    <x v="1"/>
    <m/>
    <x v="3"/>
    <x v="0"/>
    <s v="Resolved"/>
    <n v="2.12"/>
    <n v="271"/>
    <n v="574.52"/>
    <n v="46268.655147939811"/>
    <x v="8"/>
  </r>
  <r>
    <n v="1000004011"/>
    <s v="Shakopee ISD #720"/>
    <n v="1000006709"/>
    <x v="40"/>
    <s v="SNP"/>
    <x v="0"/>
    <x v="0"/>
    <n v="0"/>
    <s v="APPR"/>
    <x v="1"/>
    <x v="0"/>
    <x v="0"/>
    <x v="1"/>
    <m/>
    <x v="2"/>
    <x v="0"/>
    <s v="Resolved"/>
    <n v="0.125"/>
    <n v="943"/>
    <n v="117.87"/>
    <n v="46268.655147939811"/>
    <x v="3"/>
  </r>
  <r>
    <n v="1000004011"/>
    <s v="Shakopee ISD #720"/>
    <n v="1000006709"/>
    <x v="40"/>
    <s v="SNP"/>
    <x v="0"/>
    <x v="0"/>
    <n v="0"/>
    <s v="APPR"/>
    <x v="1"/>
    <x v="0"/>
    <x v="3"/>
    <x v="1"/>
    <m/>
    <x v="2"/>
    <x v="0"/>
    <s v="Resolved"/>
    <n v="0.52500000000000002"/>
    <n v="192"/>
    <n v="100.8"/>
    <n v="46268.655147939811"/>
    <x v="3"/>
  </r>
  <r>
    <n v="1000004011"/>
    <s v="Shakopee ISD #720"/>
    <n v="1000006709"/>
    <x v="40"/>
    <s v="SNP"/>
    <x v="0"/>
    <x v="0"/>
    <n v="0"/>
    <s v="APPR"/>
    <x v="1"/>
    <x v="0"/>
    <x v="4"/>
    <x v="1"/>
    <m/>
    <x v="2"/>
    <x v="0"/>
    <s v="Resolved"/>
    <n v="4.4349999999999996"/>
    <n v="538"/>
    <n v="2386.0300000000002"/>
    <n v="46268.655147939811"/>
    <x v="3"/>
  </r>
  <r>
    <n v="1000004011"/>
    <s v="Shakopee ISD #720"/>
    <n v="1000004573"/>
    <x v="41"/>
    <s v="SNP"/>
    <x v="0"/>
    <x v="0"/>
    <n v="0"/>
    <s v="APPR"/>
    <x v="0"/>
    <x v="0"/>
    <x v="0"/>
    <x v="0"/>
    <m/>
    <x v="0"/>
    <x v="0"/>
    <s v="Resolved"/>
    <n v="3.05"/>
    <n v="607"/>
    <n v="1851.35"/>
    <n v="46268.655147939811"/>
    <x v="0"/>
  </r>
  <r>
    <n v="1000004011"/>
    <s v="Shakopee ISD #720"/>
    <n v="1000004573"/>
    <x v="41"/>
    <s v="SNP"/>
    <x v="0"/>
    <x v="0"/>
    <n v="0"/>
    <s v="APPR"/>
    <x v="0"/>
    <x v="0"/>
    <x v="3"/>
    <x v="0"/>
    <m/>
    <x v="0"/>
    <x v="0"/>
    <s v="Resolved"/>
    <n v="2.75"/>
    <n v="247"/>
    <n v="679.25"/>
    <n v="46268.655147939811"/>
    <x v="0"/>
  </r>
  <r>
    <n v="1000004011"/>
    <s v="Shakopee ISD #720"/>
    <n v="1000004573"/>
    <x v="41"/>
    <s v="SNP"/>
    <x v="0"/>
    <x v="0"/>
    <n v="0"/>
    <s v="APPR"/>
    <x v="0"/>
    <x v="0"/>
    <x v="4"/>
    <x v="0"/>
    <m/>
    <x v="0"/>
    <x v="0"/>
    <s v="Resolved"/>
    <n v="0.42"/>
    <n v="699"/>
    <n v="293.58"/>
    <n v="46268.655147939811"/>
    <x v="0"/>
  </r>
  <r>
    <n v="1000004011"/>
    <s v="Shakopee ISD #720"/>
    <n v="1000004573"/>
    <x v="41"/>
    <s v="SNP"/>
    <x v="0"/>
    <x v="0"/>
    <n v="0"/>
    <s v="APPR"/>
    <x v="1"/>
    <x v="0"/>
    <x v="0"/>
    <x v="0"/>
    <m/>
    <x v="1"/>
    <x v="1"/>
    <s v="Resolved"/>
    <n v="4.3099999999999996"/>
    <n v="1507"/>
    <n v="6495.17"/>
    <n v="46268.655147939811"/>
    <x v="5"/>
  </r>
  <r>
    <n v="1000004011"/>
    <s v="Shakopee ISD #720"/>
    <n v="1000004573"/>
    <x v="41"/>
    <s v="SNP"/>
    <x v="0"/>
    <x v="0"/>
    <n v="0"/>
    <s v="APPR"/>
    <x v="1"/>
    <x v="0"/>
    <x v="1"/>
    <x v="0"/>
    <m/>
    <x v="1"/>
    <x v="2"/>
    <s v="Resolved"/>
    <n v="0.09"/>
    <n v="3607"/>
    <n v="324.63"/>
    <n v="46268.655147939811"/>
    <x v="2"/>
  </r>
  <r>
    <n v="1000004011"/>
    <s v="Shakopee ISD #720"/>
    <n v="1000004573"/>
    <x v="41"/>
    <s v="SNP"/>
    <x v="0"/>
    <x v="0"/>
    <n v="0"/>
    <s v="APPR"/>
    <x v="1"/>
    <x v="0"/>
    <x v="3"/>
    <x v="0"/>
    <m/>
    <x v="1"/>
    <x v="1"/>
    <s v="Resolved"/>
    <n v="3.91"/>
    <n v="440"/>
    <n v="1720.4"/>
    <n v="46268.655147939811"/>
    <x v="5"/>
  </r>
  <r>
    <n v="1000004011"/>
    <s v="Shakopee ISD #720"/>
    <n v="1000004573"/>
    <x v="41"/>
    <s v="SNP"/>
    <x v="0"/>
    <x v="0"/>
    <n v="0"/>
    <s v="APPR"/>
    <x v="1"/>
    <x v="0"/>
    <x v="2"/>
    <x v="0"/>
    <m/>
    <x v="1"/>
    <x v="3"/>
    <s v="Resolved"/>
    <n v="0.45"/>
    <n v="3607"/>
    <n v="1623.15"/>
    <n v="46268.655147939811"/>
    <x v="5"/>
  </r>
  <r>
    <n v="1000004011"/>
    <s v="Shakopee ISD #720"/>
    <n v="1000004573"/>
    <x v="41"/>
    <s v="SNP"/>
    <x v="0"/>
    <x v="0"/>
    <n v="0"/>
    <s v="APPR"/>
    <x v="0"/>
    <x v="0"/>
    <x v="3"/>
    <x v="1"/>
    <m/>
    <x v="3"/>
    <x v="0"/>
    <s v="Resolved"/>
    <n v="0.3"/>
    <n v="247"/>
    <n v="74.099999999999994"/>
    <n v="46268.655147939811"/>
    <x v="3"/>
  </r>
  <r>
    <n v="1000004011"/>
    <s v="Shakopee ISD #720"/>
    <n v="1000004573"/>
    <x v="41"/>
    <s v="SNP"/>
    <x v="0"/>
    <x v="0"/>
    <n v="0"/>
    <s v="APPR"/>
    <x v="0"/>
    <x v="0"/>
    <x v="4"/>
    <x v="1"/>
    <m/>
    <x v="3"/>
    <x v="0"/>
    <s v="Resolved"/>
    <n v="2.63"/>
    <n v="699"/>
    <n v="1838.37"/>
    <n v="46268.655147939811"/>
    <x v="6"/>
  </r>
  <r>
    <n v="1000004011"/>
    <s v="Shakopee ISD #720"/>
    <n v="1000004573"/>
    <x v="41"/>
    <s v="SNP"/>
    <x v="0"/>
    <x v="0"/>
    <n v="0"/>
    <s v="APPR"/>
    <x v="1"/>
    <x v="0"/>
    <x v="0"/>
    <x v="1"/>
    <m/>
    <x v="2"/>
    <x v="0"/>
    <s v="Resolved"/>
    <n v="0.125"/>
    <n v="1507"/>
    <n v="188.37"/>
    <n v="46268.655147939811"/>
    <x v="3"/>
  </r>
  <r>
    <n v="1000004011"/>
    <s v="Shakopee ISD #720"/>
    <n v="1000004573"/>
    <x v="41"/>
    <s v="SNP"/>
    <x v="0"/>
    <x v="0"/>
    <n v="0"/>
    <s v="APPR"/>
    <x v="1"/>
    <x v="0"/>
    <x v="3"/>
    <x v="1"/>
    <m/>
    <x v="2"/>
    <x v="0"/>
    <s v="Resolved"/>
    <n v="0.52500000000000002"/>
    <n v="440"/>
    <n v="231"/>
    <n v="46268.655147939811"/>
    <x v="3"/>
  </r>
  <r>
    <n v="1000004011"/>
    <s v="Shakopee ISD #720"/>
    <n v="1000004573"/>
    <x v="41"/>
    <s v="SNP"/>
    <x v="0"/>
    <x v="0"/>
    <n v="0"/>
    <s v="APPR"/>
    <x v="1"/>
    <x v="0"/>
    <x v="4"/>
    <x v="1"/>
    <m/>
    <x v="2"/>
    <x v="0"/>
    <s v="Resolved"/>
    <n v="4.4349999999999996"/>
    <n v="1660"/>
    <n v="7362.1"/>
    <n v="46268.655147939811"/>
    <x v="3"/>
  </r>
  <r>
    <n v="1000004046"/>
    <s v="South Washington County ISD #833"/>
    <n v="1000005496"/>
    <x v="42"/>
    <s v="SNP"/>
    <x v="0"/>
    <x v="0"/>
    <n v="0"/>
    <s v="APPR"/>
    <x v="0"/>
    <x v="0"/>
    <x v="0"/>
    <x v="0"/>
    <m/>
    <x v="0"/>
    <x v="0"/>
    <s v="Resolved"/>
    <n v="2.54"/>
    <n v="1140"/>
    <n v="2895.6"/>
    <n v="46268.655147939811"/>
    <x v="7"/>
  </r>
  <r>
    <n v="1000004046"/>
    <s v="South Washington County ISD #833"/>
    <n v="1000005496"/>
    <x v="42"/>
    <s v="SNP"/>
    <x v="0"/>
    <x v="0"/>
    <n v="0"/>
    <s v="APPR"/>
    <x v="0"/>
    <x v="0"/>
    <x v="3"/>
    <x v="0"/>
    <m/>
    <x v="0"/>
    <x v="0"/>
    <s v="Resolved"/>
    <n v="2.2400000000000002"/>
    <n v="431"/>
    <n v="965.44"/>
    <n v="46268.655147939811"/>
    <x v="7"/>
  </r>
  <r>
    <n v="1000004046"/>
    <s v="South Washington County ISD #833"/>
    <n v="1000005496"/>
    <x v="42"/>
    <s v="SNP"/>
    <x v="0"/>
    <x v="0"/>
    <n v="0"/>
    <s v="APPR"/>
    <x v="0"/>
    <x v="0"/>
    <x v="4"/>
    <x v="0"/>
    <m/>
    <x v="0"/>
    <x v="0"/>
    <s v="Resolved"/>
    <n v="0.42"/>
    <n v="2180"/>
    <n v="915.6"/>
    <n v="46268.655147939811"/>
    <x v="7"/>
  </r>
  <r>
    <n v="1000004046"/>
    <s v="South Washington County ISD #833"/>
    <n v="1000005496"/>
    <x v="42"/>
    <s v="SNP"/>
    <x v="0"/>
    <x v="0"/>
    <n v="0"/>
    <s v="APPR"/>
    <x v="1"/>
    <x v="0"/>
    <x v="0"/>
    <x v="0"/>
    <m/>
    <x v="1"/>
    <x v="1"/>
    <s v="Resolved"/>
    <n v="4.3099999999999996"/>
    <n v="1021"/>
    <n v="4400.51"/>
    <n v="46268.655147939811"/>
    <x v="5"/>
  </r>
  <r>
    <n v="1000004046"/>
    <s v="South Washington County ISD #833"/>
    <n v="1000005496"/>
    <x v="42"/>
    <s v="SNP"/>
    <x v="0"/>
    <x v="0"/>
    <n v="0"/>
    <s v="APPR"/>
    <x v="1"/>
    <x v="0"/>
    <x v="1"/>
    <x v="0"/>
    <m/>
    <x v="1"/>
    <x v="2"/>
    <s v="Resolved"/>
    <n v="0.09"/>
    <n v="3512"/>
    <n v="316.08"/>
    <n v="46268.655147939811"/>
    <x v="2"/>
  </r>
  <r>
    <n v="1000004046"/>
    <s v="South Washington County ISD #833"/>
    <n v="1000005496"/>
    <x v="42"/>
    <s v="SNP"/>
    <x v="0"/>
    <x v="0"/>
    <n v="0"/>
    <s v="APPR"/>
    <x v="1"/>
    <x v="0"/>
    <x v="3"/>
    <x v="0"/>
    <m/>
    <x v="1"/>
    <x v="1"/>
    <s v="Resolved"/>
    <n v="3.91"/>
    <n v="398"/>
    <n v="1556.18"/>
    <n v="46268.655147939811"/>
    <x v="5"/>
  </r>
  <r>
    <n v="1000004046"/>
    <s v="South Washington County ISD #833"/>
    <n v="1000005496"/>
    <x v="42"/>
    <s v="SNP"/>
    <x v="0"/>
    <x v="0"/>
    <n v="0"/>
    <s v="APPR"/>
    <x v="1"/>
    <x v="0"/>
    <x v="2"/>
    <x v="0"/>
    <m/>
    <x v="1"/>
    <x v="3"/>
    <s v="Resolved"/>
    <n v="0.45"/>
    <n v="3512"/>
    <n v="1580.4"/>
    <n v="46268.655147939811"/>
    <x v="5"/>
  </r>
  <r>
    <n v="1000004046"/>
    <s v="South Washington County ISD #833"/>
    <n v="1000005496"/>
    <x v="42"/>
    <s v="SNP"/>
    <x v="0"/>
    <x v="0"/>
    <n v="0"/>
    <s v="APPR"/>
    <x v="0"/>
    <x v="0"/>
    <x v="3"/>
    <x v="1"/>
    <m/>
    <x v="3"/>
    <x v="0"/>
    <s v="Resolved"/>
    <n v="0.3"/>
    <n v="431"/>
    <n v="129.30000000000001"/>
    <n v="46268.655147939811"/>
    <x v="3"/>
  </r>
  <r>
    <n v="1000004046"/>
    <s v="South Washington County ISD #833"/>
    <n v="1000005496"/>
    <x v="42"/>
    <s v="SNP"/>
    <x v="0"/>
    <x v="0"/>
    <n v="0"/>
    <s v="APPR"/>
    <x v="0"/>
    <x v="0"/>
    <x v="4"/>
    <x v="1"/>
    <m/>
    <x v="3"/>
    <x v="0"/>
    <s v="Resolved"/>
    <n v="2.12"/>
    <n v="2180"/>
    <n v="4621.6000000000004"/>
    <n v="46268.655147939811"/>
    <x v="8"/>
  </r>
  <r>
    <n v="1000004046"/>
    <s v="South Washington County ISD #833"/>
    <n v="1000005496"/>
    <x v="42"/>
    <s v="SNP"/>
    <x v="0"/>
    <x v="0"/>
    <n v="0"/>
    <s v="APPR"/>
    <x v="1"/>
    <x v="0"/>
    <x v="0"/>
    <x v="1"/>
    <m/>
    <x v="2"/>
    <x v="0"/>
    <s v="Resolved"/>
    <n v="0.125"/>
    <n v="1021"/>
    <n v="127.62"/>
    <n v="46268.655147939811"/>
    <x v="3"/>
  </r>
  <r>
    <n v="1000004046"/>
    <s v="South Washington County ISD #833"/>
    <n v="1000005496"/>
    <x v="42"/>
    <s v="SNP"/>
    <x v="0"/>
    <x v="0"/>
    <n v="0"/>
    <s v="APPR"/>
    <x v="1"/>
    <x v="0"/>
    <x v="3"/>
    <x v="1"/>
    <m/>
    <x v="2"/>
    <x v="0"/>
    <s v="Resolved"/>
    <n v="0.52500000000000002"/>
    <n v="398"/>
    <n v="208.95"/>
    <n v="46268.655147939811"/>
    <x v="3"/>
  </r>
  <r>
    <n v="1000004046"/>
    <s v="South Washington County ISD #833"/>
    <n v="1000005496"/>
    <x v="42"/>
    <s v="SNP"/>
    <x v="0"/>
    <x v="0"/>
    <n v="0"/>
    <s v="APPR"/>
    <x v="1"/>
    <x v="0"/>
    <x v="4"/>
    <x v="1"/>
    <m/>
    <x v="2"/>
    <x v="0"/>
    <s v="Resolved"/>
    <n v="4.4349999999999996"/>
    <n v="2093"/>
    <n v="9282.4500000000007"/>
    <n v="46268.655147939811"/>
    <x v="3"/>
  </r>
  <r>
    <n v="1000004046"/>
    <s v="South Washington County ISD #833"/>
    <n v="1000002396"/>
    <x v="43"/>
    <s v="SNP"/>
    <x v="0"/>
    <x v="0"/>
    <n v="0"/>
    <s v="APPR"/>
    <x v="0"/>
    <x v="0"/>
    <x v="0"/>
    <x v="0"/>
    <m/>
    <x v="0"/>
    <x v="0"/>
    <s v="Resolved"/>
    <n v="2.54"/>
    <n v="442"/>
    <n v="1122.68"/>
    <n v="46268.655147939811"/>
    <x v="7"/>
  </r>
  <r>
    <n v="1000004046"/>
    <s v="South Washington County ISD #833"/>
    <n v="1000002396"/>
    <x v="43"/>
    <s v="SNP"/>
    <x v="0"/>
    <x v="0"/>
    <n v="0"/>
    <s v="APPR"/>
    <x v="0"/>
    <x v="0"/>
    <x v="3"/>
    <x v="0"/>
    <m/>
    <x v="0"/>
    <x v="0"/>
    <s v="Resolved"/>
    <n v="2.2400000000000002"/>
    <n v="140"/>
    <n v="313.60000000000002"/>
    <n v="46268.655147939811"/>
    <x v="7"/>
  </r>
  <r>
    <n v="1000004046"/>
    <s v="South Washington County ISD #833"/>
    <n v="1000002396"/>
    <x v="43"/>
    <s v="SNP"/>
    <x v="0"/>
    <x v="0"/>
    <n v="0"/>
    <s v="APPR"/>
    <x v="0"/>
    <x v="0"/>
    <x v="4"/>
    <x v="0"/>
    <m/>
    <x v="0"/>
    <x v="0"/>
    <s v="Resolved"/>
    <n v="0.42"/>
    <n v="779"/>
    <n v="327.18"/>
    <n v="46268.655147939811"/>
    <x v="7"/>
  </r>
  <r>
    <n v="1000004046"/>
    <s v="South Washington County ISD #833"/>
    <n v="1000002396"/>
    <x v="43"/>
    <s v="SNP"/>
    <x v="0"/>
    <x v="0"/>
    <n v="0"/>
    <s v="APPR"/>
    <x v="1"/>
    <x v="0"/>
    <x v="0"/>
    <x v="0"/>
    <m/>
    <x v="1"/>
    <x v="1"/>
    <s v="Resolved"/>
    <n v="4.3099999999999996"/>
    <n v="632"/>
    <n v="2723.92"/>
    <n v="46268.655147939811"/>
    <x v="5"/>
  </r>
  <r>
    <n v="1000004046"/>
    <s v="South Washington County ISD #833"/>
    <n v="1000002396"/>
    <x v="43"/>
    <s v="SNP"/>
    <x v="0"/>
    <x v="0"/>
    <n v="0"/>
    <s v="APPR"/>
    <x v="1"/>
    <x v="0"/>
    <x v="1"/>
    <x v="0"/>
    <m/>
    <x v="1"/>
    <x v="2"/>
    <s v="Resolved"/>
    <n v="0.09"/>
    <n v="2400"/>
    <n v="216"/>
    <n v="46268.655147939811"/>
    <x v="2"/>
  </r>
  <r>
    <n v="1000004046"/>
    <s v="South Washington County ISD #833"/>
    <n v="1000002396"/>
    <x v="43"/>
    <s v="SNP"/>
    <x v="0"/>
    <x v="0"/>
    <n v="0"/>
    <s v="APPR"/>
    <x v="1"/>
    <x v="0"/>
    <x v="3"/>
    <x v="0"/>
    <m/>
    <x v="1"/>
    <x v="1"/>
    <s v="Resolved"/>
    <n v="3.91"/>
    <n v="274"/>
    <n v="1071.3399999999999"/>
    <n v="46268.655147939811"/>
    <x v="5"/>
  </r>
  <r>
    <n v="1000004046"/>
    <s v="South Washington County ISD #833"/>
    <n v="1000002396"/>
    <x v="43"/>
    <s v="SNP"/>
    <x v="0"/>
    <x v="0"/>
    <n v="0"/>
    <s v="APPR"/>
    <x v="1"/>
    <x v="0"/>
    <x v="2"/>
    <x v="0"/>
    <m/>
    <x v="1"/>
    <x v="3"/>
    <s v="Resolved"/>
    <n v="0.45"/>
    <n v="2400"/>
    <n v="1080"/>
    <n v="46268.655147939811"/>
    <x v="5"/>
  </r>
  <r>
    <n v="1000004046"/>
    <s v="South Washington County ISD #833"/>
    <n v="1000002396"/>
    <x v="43"/>
    <s v="SNP"/>
    <x v="0"/>
    <x v="0"/>
    <n v="0"/>
    <s v="APPR"/>
    <x v="0"/>
    <x v="0"/>
    <x v="3"/>
    <x v="1"/>
    <m/>
    <x v="3"/>
    <x v="0"/>
    <s v="Resolved"/>
    <n v="0.3"/>
    <n v="140"/>
    <n v="42"/>
    <n v="46268.655147939811"/>
    <x v="3"/>
  </r>
  <r>
    <n v="1000004046"/>
    <s v="South Washington County ISD #833"/>
    <n v="1000002396"/>
    <x v="43"/>
    <s v="SNP"/>
    <x v="0"/>
    <x v="0"/>
    <n v="0"/>
    <s v="APPR"/>
    <x v="0"/>
    <x v="0"/>
    <x v="4"/>
    <x v="1"/>
    <m/>
    <x v="3"/>
    <x v="0"/>
    <s v="Resolved"/>
    <n v="2.12"/>
    <n v="779"/>
    <n v="1651.48"/>
    <n v="46268.655147939811"/>
    <x v="8"/>
  </r>
  <r>
    <n v="1000004046"/>
    <s v="South Washington County ISD #833"/>
    <n v="1000002396"/>
    <x v="43"/>
    <s v="SNP"/>
    <x v="0"/>
    <x v="0"/>
    <n v="0"/>
    <s v="APPR"/>
    <x v="1"/>
    <x v="0"/>
    <x v="0"/>
    <x v="1"/>
    <m/>
    <x v="2"/>
    <x v="0"/>
    <s v="Resolved"/>
    <n v="0.125"/>
    <n v="632"/>
    <n v="79"/>
    <n v="46268.655147939811"/>
    <x v="3"/>
  </r>
  <r>
    <n v="1000004046"/>
    <s v="South Washington County ISD #833"/>
    <n v="1000002396"/>
    <x v="43"/>
    <s v="SNP"/>
    <x v="0"/>
    <x v="0"/>
    <n v="0"/>
    <s v="APPR"/>
    <x v="1"/>
    <x v="0"/>
    <x v="3"/>
    <x v="1"/>
    <m/>
    <x v="2"/>
    <x v="0"/>
    <s v="Resolved"/>
    <n v="0.52500000000000002"/>
    <n v="274"/>
    <n v="143.85"/>
    <n v="46268.655147939811"/>
    <x v="3"/>
  </r>
  <r>
    <n v="1000004046"/>
    <s v="South Washington County ISD #833"/>
    <n v="1000002396"/>
    <x v="43"/>
    <s v="SNP"/>
    <x v="0"/>
    <x v="0"/>
    <n v="0"/>
    <s v="APPR"/>
    <x v="1"/>
    <x v="0"/>
    <x v="4"/>
    <x v="1"/>
    <m/>
    <x v="2"/>
    <x v="0"/>
    <s v="Resolved"/>
    <n v="4.4349999999999996"/>
    <n v="1494"/>
    <n v="6625.89"/>
    <n v="46268.655147939811"/>
    <x v="3"/>
  </r>
  <r>
    <n v="1000004046"/>
    <s v="South Washington County ISD #833"/>
    <n v="9000010030"/>
    <x v="44"/>
    <s v="SNP"/>
    <x v="0"/>
    <x v="0"/>
    <n v="0"/>
    <s v="APPR"/>
    <x v="0"/>
    <x v="0"/>
    <x v="0"/>
    <x v="0"/>
    <m/>
    <x v="0"/>
    <x v="0"/>
    <s v="Resolved"/>
    <n v="2.54"/>
    <n v="252"/>
    <n v="640.08000000000004"/>
    <n v="46268.655147939811"/>
    <x v="7"/>
  </r>
  <r>
    <n v="1000004046"/>
    <s v="South Washington County ISD #833"/>
    <n v="9000010030"/>
    <x v="44"/>
    <s v="SNP"/>
    <x v="0"/>
    <x v="0"/>
    <n v="0"/>
    <s v="APPR"/>
    <x v="0"/>
    <x v="0"/>
    <x v="3"/>
    <x v="0"/>
    <m/>
    <x v="0"/>
    <x v="0"/>
    <s v="Resolved"/>
    <n v="2.2400000000000002"/>
    <n v="34"/>
    <n v="76.16"/>
    <n v="46268.655147939811"/>
    <x v="7"/>
  </r>
  <r>
    <n v="1000004046"/>
    <s v="South Washington County ISD #833"/>
    <n v="9000010030"/>
    <x v="44"/>
    <s v="SNP"/>
    <x v="0"/>
    <x v="0"/>
    <n v="0"/>
    <s v="APPR"/>
    <x v="0"/>
    <x v="0"/>
    <x v="4"/>
    <x v="0"/>
    <m/>
    <x v="0"/>
    <x v="0"/>
    <s v="Resolved"/>
    <n v="0.42"/>
    <n v="360"/>
    <n v="151.19999999999999"/>
    <n v="46268.655147939811"/>
    <x v="7"/>
  </r>
  <r>
    <n v="1000004046"/>
    <s v="South Washington County ISD #833"/>
    <n v="9000010030"/>
    <x v="44"/>
    <s v="SNP"/>
    <x v="0"/>
    <x v="0"/>
    <n v="0"/>
    <s v="APPR"/>
    <x v="0"/>
    <x v="0"/>
    <x v="3"/>
    <x v="1"/>
    <m/>
    <x v="3"/>
    <x v="0"/>
    <s v="Resolved"/>
    <n v="0.3"/>
    <n v="34"/>
    <n v="10.199999999999999"/>
    <n v="46268.655147939811"/>
    <x v="3"/>
  </r>
  <r>
    <n v="1000004046"/>
    <s v="South Washington County ISD #833"/>
    <n v="9000010030"/>
    <x v="44"/>
    <s v="SNP"/>
    <x v="0"/>
    <x v="0"/>
    <n v="0"/>
    <s v="APPR"/>
    <x v="0"/>
    <x v="0"/>
    <x v="4"/>
    <x v="1"/>
    <m/>
    <x v="3"/>
    <x v="0"/>
    <s v="Resolved"/>
    <n v="2.12"/>
    <n v="360"/>
    <n v="763.2"/>
    <n v="46268.655147939811"/>
    <x v="8"/>
  </r>
  <r>
    <n v="1000004046"/>
    <s v="South Washington County ISD #833"/>
    <n v="1000005236"/>
    <x v="45"/>
    <s v="SNP"/>
    <x v="0"/>
    <x v="0"/>
    <n v="0"/>
    <s v="APPR"/>
    <x v="0"/>
    <x v="0"/>
    <x v="0"/>
    <x v="0"/>
    <m/>
    <x v="0"/>
    <x v="0"/>
    <s v="Resolved"/>
    <n v="2.54"/>
    <n v="1033"/>
    <n v="2623.82"/>
    <n v="46268.655147939811"/>
    <x v="7"/>
  </r>
  <r>
    <n v="1000004046"/>
    <s v="South Washington County ISD #833"/>
    <n v="1000005236"/>
    <x v="45"/>
    <s v="SNP"/>
    <x v="0"/>
    <x v="0"/>
    <n v="0"/>
    <s v="APPR"/>
    <x v="0"/>
    <x v="0"/>
    <x v="3"/>
    <x v="0"/>
    <m/>
    <x v="0"/>
    <x v="0"/>
    <s v="Resolved"/>
    <n v="2.2400000000000002"/>
    <n v="269"/>
    <n v="602.55999999999995"/>
    <n v="46268.655147939811"/>
    <x v="7"/>
  </r>
  <r>
    <n v="1000004046"/>
    <s v="South Washington County ISD #833"/>
    <n v="1000005236"/>
    <x v="45"/>
    <s v="SNP"/>
    <x v="0"/>
    <x v="0"/>
    <n v="0"/>
    <s v="APPR"/>
    <x v="0"/>
    <x v="0"/>
    <x v="4"/>
    <x v="0"/>
    <m/>
    <x v="0"/>
    <x v="0"/>
    <s v="Resolved"/>
    <n v="0.42"/>
    <n v="2159"/>
    <n v="906.78"/>
    <n v="46268.655147939811"/>
    <x v="7"/>
  </r>
  <r>
    <n v="1000004046"/>
    <s v="South Washington County ISD #833"/>
    <n v="1000005236"/>
    <x v="45"/>
    <s v="SNP"/>
    <x v="0"/>
    <x v="0"/>
    <n v="0"/>
    <s v="APPR"/>
    <x v="1"/>
    <x v="0"/>
    <x v="0"/>
    <x v="0"/>
    <m/>
    <x v="1"/>
    <x v="1"/>
    <s v="Resolved"/>
    <n v="4.3099999999999996"/>
    <n v="904"/>
    <n v="3896.24"/>
    <n v="46268.655147939811"/>
    <x v="5"/>
  </r>
  <r>
    <n v="1000004046"/>
    <s v="South Washington County ISD #833"/>
    <n v="1000005236"/>
    <x v="45"/>
    <s v="SNP"/>
    <x v="0"/>
    <x v="0"/>
    <n v="0"/>
    <s v="APPR"/>
    <x v="1"/>
    <x v="0"/>
    <x v="1"/>
    <x v="0"/>
    <m/>
    <x v="1"/>
    <x v="2"/>
    <s v="Resolved"/>
    <n v="0.09"/>
    <n v="3424"/>
    <n v="308.16000000000003"/>
    <n v="46268.655147939811"/>
    <x v="2"/>
  </r>
  <r>
    <n v="1000004046"/>
    <s v="South Washington County ISD #833"/>
    <n v="1000005236"/>
    <x v="45"/>
    <s v="SNP"/>
    <x v="0"/>
    <x v="0"/>
    <n v="0"/>
    <s v="APPR"/>
    <x v="1"/>
    <x v="0"/>
    <x v="3"/>
    <x v="0"/>
    <m/>
    <x v="1"/>
    <x v="1"/>
    <s v="Resolved"/>
    <n v="3.91"/>
    <n v="325"/>
    <n v="1270.75"/>
    <n v="46268.655147939811"/>
    <x v="5"/>
  </r>
  <r>
    <n v="1000004046"/>
    <s v="South Washington County ISD #833"/>
    <n v="1000005236"/>
    <x v="45"/>
    <s v="SNP"/>
    <x v="0"/>
    <x v="0"/>
    <n v="0"/>
    <s v="APPR"/>
    <x v="1"/>
    <x v="0"/>
    <x v="2"/>
    <x v="0"/>
    <m/>
    <x v="1"/>
    <x v="3"/>
    <s v="Resolved"/>
    <n v="0.45"/>
    <n v="3424"/>
    <n v="1540.8"/>
    <n v="46268.655147939811"/>
    <x v="5"/>
  </r>
  <r>
    <n v="1000004046"/>
    <s v="South Washington County ISD #833"/>
    <n v="1000005236"/>
    <x v="45"/>
    <s v="SNP"/>
    <x v="0"/>
    <x v="0"/>
    <n v="0"/>
    <s v="APPR"/>
    <x v="0"/>
    <x v="0"/>
    <x v="3"/>
    <x v="1"/>
    <m/>
    <x v="3"/>
    <x v="0"/>
    <s v="Resolved"/>
    <n v="0.3"/>
    <n v="269"/>
    <n v="80.7"/>
    <n v="46268.655147939811"/>
    <x v="3"/>
  </r>
  <r>
    <n v="1000004046"/>
    <s v="South Washington County ISD #833"/>
    <n v="1000005236"/>
    <x v="45"/>
    <s v="SNP"/>
    <x v="0"/>
    <x v="0"/>
    <n v="0"/>
    <s v="APPR"/>
    <x v="0"/>
    <x v="0"/>
    <x v="4"/>
    <x v="1"/>
    <m/>
    <x v="3"/>
    <x v="0"/>
    <s v="Resolved"/>
    <n v="2.12"/>
    <n v="2159"/>
    <n v="4577.08"/>
    <n v="46268.655147939811"/>
    <x v="8"/>
  </r>
  <r>
    <n v="1000004046"/>
    <s v="South Washington County ISD #833"/>
    <n v="1000005236"/>
    <x v="45"/>
    <s v="SNP"/>
    <x v="0"/>
    <x v="0"/>
    <n v="0"/>
    <s v="APPR"/>
    <x v="0"/>
    <x v="1"/>
    <x v="4"/>
    <x v="1"/>
    <m/>
    <x v="3"/>
    <x v="0"/>
    <s v="Resolved"/>
    <n v="0"/>
    <n v="4"/>
    <n v="0"/>
    <n v="46268.655147939811"/>
    <x v="9"/>
  </r>
  <r>
    <n v="1000004046"/>
    <s v="South Washington County ISD #833"/>
    <n v="1000005236"/>
    <x v="45"/>
    <s v="SNP"/>
    <x v="0"/>
    <x v="0"/>
    <n v="0"/>
    <s v="APPR"/>
    <x v="1"/>
    <x v="0"/>
    <x v="0"/>
    <x v="1"/>
    <m/>
    <x v="2"/>
    <x v="0"/>
    <s v="Resolved"/>
    <n v="0.125"/>
    <n v="904"/>
    <n v="113"/>
    <n v="46268.655147939811"/>
    <x v="3"/>
  </r>
  <r>
    <n v="1000004046"/>
    <s v="South Washington County ISD #833"/>
    <n v="1000005236"/>
    <x v="45"/>
    <s v="SNP"/>
    <x v="0"/>
    <x v="0"/>
    <n v="0"/>
    <s v="APPR"/>
    <x v="1"/>
    <x v="0"/>
    <x v="3"/>
    <x v="1"/>
    <m/>
    <x v="2"/>
    <x v="0"/>
    <s v="Resolved"/>
    <n v="0.52500000000000002"/>
    <n v="325"/>
    <n v="170.62"/>
    <n v="46268.655147939811"/>
    <x v="3"/>
  </r>
  <r>
    <n v="1000004046"/>
    <s v="South Washington County ISD #833"/>
    <n v="1000005236"/>
    <x v="45"/>
    <s v="SNP"/>
    <x v="0"/>
    <x v="0"/>
    <n v="0"/>
    <s v="APPR"/>
    <x v="1"/>
    <x v="0"/>
    <x v="4"/>
    <x v="1"/>
    <m/>
    <x v="2"/>
    <x v="0"/>
    <s v="Resolved"/>
    <n v="4.4349999999999996"/>
    <n v="2195"/>
    <n v="9734.82"/>
    <n v="46268.655147939811"/>
    <x v="3"/>
  </r>
  <r>
    <n v="2000010447"/>
    <s v="Southern Minnesota Education Consortium"/>
    <n v="9000018188"/>
    <x v="46"/>
    <s v="SNP"/>
    <x v="0"/>
    <x v="0"/>
    <n v="0"/>
    <s v="APPR"/>
    <x v="1"/>
    <x v="0"/>
    <x v="0"/>
    <x v="0"/>
    <m/>
    <x v="1"/>
    <x v="1"/>
    <s v="Resolved"/>
    <n v="4.3099999999999996"/>
    <n v="159"/>
    <n v="685.29"/>
    <n v="46268.655147939811"/>
    <x v="5"/>
  </r>
  <r>
    <n v="2000010447"/>
    <s v="Southern Minnesota Education Consortium"/>
    <n v="9000018188"/>
    <x v="46"/>
    <s v="SNP"/>
    <x v="0"/>
    <x v="0"/>
    <n v="0"/>
    <s v="APPR"/>
    <x v="1"/>
    <x v="0"/>
    <x v="1"/>
    <x v="0"/>
    <m/>
    <x v="1"/>
    <x v="2"/>
    <s v="Resolved"/>
    <n v="0.09"/>
    <n v="182"/>
    <n v="16.38"/>
    <n v="46268.655147939811"/>
    <x v="2"/>
  </r>
  <r>
    <n v="2000010447"/>
    <s v="Southern Minnesota Education Consortium"/>
    <n v="9000018188"/>
    <x v="46"/>
    <s v="SNP"/>
    <x v="0"/>
    <x v="0"/>
    <n v="0"/>
    <s v="APPR"/>
    <x v="1"/>
    <x v="0"/>
    <x v="2"/>
    <x v="0"/>
    <m/>
    <x v="1"/>
    <x v="3"/>
    <s v="Resolved"/>
    <n v="0.45"/>
    <n v="182"/>
    <n v="81.900000000000006"/>
    <n v="46268.655147939811"/>
    <x v="5"/>
  </r>
  <r>
    <n v="2000010447"/>
    <s v="Southern Minnesota Education Consortium"/>
    <n v="9000018188"/>
    <x v="46"/>
    <s v="SNP"/>
    <x v="0"/>
    <x v="0"/>
    <n v="0"/>
    <s v="APPR"/>
    <x v="1"/>
    <x v="0"/>
    <x v="0"/>
    <x v="1"/>
    <m/>
    <x v="2"/>
    <x v="0"/>
    <s v="Resolved"/>
    <n v="0.125"/>
    <n v="159"/>
    <n v="19.87"/>
    <n v="46268.655147939811"/>
    <x v="3"/>
  </r>
  <r>
    <n v="2000010447"/>
    <s v="Southern Minnesota Education Consortium"/>
    <n v="9000018188"/>
    <x v="46"/>
    <s v="SNP"/>
    <x v="0"/>
    <x v="0"/>
    <n v="0"/>
    <s v="APPR"/>
    <x v="1"/>
    <x v="0"/>
    <x v="4"/>
    <x v="1"/>
    <m/>
    <x v="2"/>
    <x v="0"/>
    <s v="Resolved"/>
    <n v="4.4349999999999996"/>
    <n v="23"/>
    <n v="102"/>
    <n v="46268.655147939811"/>
    <x v="3"/>
  </r>
  <r>
    <n v="1000003811"/>
    <s v="St Francis ISD #15"/>
    <n v="1000001301"/>
    <x v="47"/>
    <s v="SNP"/>
    <x v="0"/>
    <x v="0"/>
    <n v="0"/>
    <s v="APPR"/>
    <x v="0"/>
    <x v="0"/>
    <x v="0"/>
    <x v="0"/>
    <m/>
    <x v="0"/>
    <x v="0"/>
    <s v="Resolved"/>
    <n v="2.54"/>
    <n v="285"/>
    <n v="723.9"/>
    <n v="46268.655147939811"/>
    <x v="7"/>
  </r>
  <r>
    <n v="1000003811"/>
    <s v="St Francis ISD #15"/>
    <n v="1000001301"/>
    <x v="47"/>
    <s v="SNP"/>
    <x v="0"/>
    <x v="0"/>
    <n v="0"/>
    <s v="APPR"/>
    <x v="0"/>
    <x v="0"/>
    <x v="3"/>
    <x v="0"/>
    <m/>
    <x v="0"/>
    <x v="0"/>
    <s v="Resolved"/>
    <n v="2.2400000000000002"/>
    <n v="124"/>
    <n v="277.76"/>
    <n v="46268.655147939811"/>
    <x v="7"/>
  </r>
  <r>
    <n v="1000003811"/>
    <s v="St Francis ISD #15"/>
    <n v="1000001301"/>
    <x v="47"/>
    <s v="SNP"/>
    <x v="0"/>
    <x v="0"/>
    <n v="0"/>
    <s v="APPR"/>
    <x v="0"/>
    <x v="0"/>
    <x v="4"/>
    <x v="0"/>
    <m/>
    <x v="0"/>
    <x v="0"/>
    <s v="Resolved"/>
    <n v="0.42"/>
    <n v="724"/>
    <n v="304.08"/>
    <n v="46268.655147939811"/>
    <x v="7"/>
  </r>
  <r>
    <n v="1000003811"/>
    <s v="St Francis ISD #15"/>
    <n v="1000001301"/>
    <x v="47"/>
    <s v="SNP"/>
    <x v="0"/>
    <x v="0"/>
    <n v="0"/>
    <s v="APPR"/>
    <x v="1"/>
    <x v="0"/>
    <x v="0"/>
    <x v="0"/>
    <m/>
    <x v="1"/>
    <x v="1"/>
    <s v="Resolved"/>
    <n v="4.3099999999999996"/>
    <n v="426"/>
    <n v="1836.06"/>
    <n v="46268.655147939811"/>
    <x v="5"/>
  </r>
  <r>
    <n v="1000003811"/>
    <s v="St Francis ISD #15"/>
    <n v="1000001301"/>
    <x v="47"/>
    <s v="SNP"/>
    <x v="0"/>
    <x v="0"/>
    <n v="0"/>
    <s v="APPR"/>
    <x v="1"/>
    <x v="0"/>
    <x v="1"/>
    <x v="0"/>
    <m/>
    <x v="1"/>
    <x v="2"/>
    <s v="Resolved"/>
    <n v="0.09"/>
    <n v="1742"/>
    <n v="156.78"/>
    <n v="46268.655147939811"/>
    <x v="2"/>
  </r>
  <r>
    <n v="1000003811"/>
    <s v="St Francis ISD #15"/>
    <n v="1000001301"/>
    <x v="47"/>
    <s v="SNP"/>
    <x v="0"/>
    <x v="0"/>
    <n v="0"/>
    <s v="APPR"/>
    <x v="1"/>
    <x v="0"/>
    <x v="3"/>
    <x v="0"/>
    <m/>
    <x v="1"/>
    <x v="1"/>
    <s v="Resolved"/>
    <n v="3.91"/>
    <n v="182"/>
    <n v="711.62"/>
    <n v="46268.655147939811"/>
    <x v="5"/>
  </r>
  <r>
    <n v="1000003811"/>
    <s v="St Francis ISD #15"/>
    <n v="1000001301"/>
    <x v="47"/>
    <s v="SNP"/>
    <x v="0"/>
    <x v="0"/>
    <n v="0"/>
    <s v="APPR"/>
    <x v="1"/>
    <x v="0"/>
    <x v="2"/>
    <x v="0"/>
    <m/>
    <x v="1"/>
    <x v="3"/>
    <s v="Resolved"/>
    <n v="0.45"/>
    <n v="1742"/>
    <n v="783.9"/>
    <n v="46268.655147939811"/>
    <x v="5"/>
  </r>
  <r>
    <n v="1000003811"/>
    <s v="St Francis ISD #15"/>
    <n v="1000001301"/>
    <x v="47"/>
    <s v="SNP"/>
    <x v="0"/>
    <x v="0"/>
    <n v="0"/>
    <s v="APPR"/>
    <x v="0"/>
    <x v="0"/>
    <x v="3"/>
    <x v="1"/>
    <m/>
    <x v="3"/>
    <x v="0"/>
    <s v="Resolved"/>
    <n v="0.3"/>
    <n v="124"/>
    <n v="37.200000000000003"/>
    <n v="46268.655147939811"/>
    <x v="3"/>
  </r>
  <r>
    <n v="1000003811"/>
    <s v="St Francis ISD #15"/>
    <n v="1000001301"/>
    <x v="47"/>
    <s v="SNP"/>
    <x v="0"/>
    <x v="0"/>
    <n v="0"/>
    <s v="APPR"/>
    <x v="0"/>
    <x v="0"/>
    <x v="4"/>
    <x v="1"/>
    <m/>
    <x v="3"/>
    <x v="0"/>
    <s v="Resolved"/>
    <n v="2.12"/>
    <n v="724"/>
    <n v="1534.88"/>
    <n v="46268.655147939811"/>
    <x v="8"/>
  </r>
  <r>
    <n v="1000003811"/>
    <s v="St Francis ISD #15"/>
    <n v="1000001301"/>
    <x v="47"/>
    <s v="SNP"/>
    <x v="0"/>
    <x v="0"/>
    <n v="0"/>
    <s v="APPR"/>
    <x v="1"/>
    <x v="0"/>
    <x v="0"/>
    <x v="1"/>
    <m/>
    <x v="2"/>
    <x v="0"/>
    <s v="Resolved"/>
    <n v="0.125"/>
    <n v="426"/>
    <n v="53.25"/>
    <n v="46268.655147939811"/>
    <x v="3"/>
  </r>
  <r>
    <n v="1000003811"/>
    <s v="St Francis ISD #15"/>
    <n v="1000001301"/>
    <x v="47"/>
    <s v="SNP"/>
    <x v="0"/>
    <x v="0"/>
    <n v="0"/>
    <s v="APPR"/>
    <x v="1"/>
    <x v="0"/>
    <x v="3"/>
    <x v="1"/>
    <m/>
    <x v="2"/>
    <x v="0"/>
    <s v="Resolved"/>
    <n v="0.52500000000000002"/>
    <n v="182"/>
    <n v="95.55"/>
    <n v="46268.655147939811"/>
    <x v="3"/>
  </r>
  <r>
    <n v="1000003811"/>
    <s v="St Francis ISD #15"/>
    <n v="1000001301"/>
    <x v="47"/>
    <s v="SNP"/>
    <x v="0"/>
    <x v="0"/>
    <n v="0"/>
    <s v="APPR"/>
    <x v="1"/>
    <x v="0"/>
    <x v="4"/>
    <x v="1"/>
    <m/>
    <x v="2"/>
    <x v="0"/>
    <s v="Resolved"/>
    <n v="4.4349999999999996"/>
    <n v="1134"/>
    <n v="5029.29"/>
    <n v="46268.655147939811"/>
    <x v="3"/>
  </r>
  <r>
    <n v="1000003887"/>
    <s v="St Louis Park ISD #283"/>
    <n v="1000001723"/>
    <x v="48"/>
    <s v="SNP"/>
    <x v="0"/>
    <x v="0"/>
    <n v="1"/>
    <s v="APPR"/>
    <x v="0"/>
    <x v="0"/>
    <x v="0"/>
    <x v="0"/>
    <m/>
    <x v="0"/>
    <x v="0"/>
    <s v="Resolved"/>
    <n v="3.05"/>
    <n v="627"/>
    <n v="1912.35"/>
    <n v="46268.655147939811"/>
    <x v="0"/>
  </r>
  <r>
    <n v="1000003887"/>
    <s v="St Louis Park ISD #283"/>
    <n v="1000001723"/>
    <x v="48"/>
    <s v="SNP"/>
    <x v="0"/>
    <x v="0"/>
    <n v="1"/>
    <s v="APPR"/>
    <x v="0"/>
    <x v="0"/>
    <x v="3"/>
    <x v="0"/>
    <m/>
    <x v="0"/>
    <x v="0"/>
    <s v="Resolved"/>
    <n v="2.75"/>
    <n v="72"/>
    <n v="198"/>
    <n v="46268.655147939811"/>
    <x v="0"/>
  </r>
  <r>
    <n v="1000003887"/>
    <s v="St Louis Park ISD #283"/>
    <n v="1000001723"/>
    <x v="48"/>
    <s v="SNP"/>
    <x v="0"/>
    <x v="0"/>
    <n v="1"/>
    <s v="APPR"/>
    <x v="0"/>
    <x v="0"/>
    <x v="4"/>
    <x v="0"/>
    <m/>
    <x v="0"/>
    <x v="0"/>
    <s v="Resolved"/>
    <n v="0.42"/>
    <n v="307"/>
    <n v="128.94"/>
    <n v="46268.655147939811"/>
    <x v="0"/>
  </r>
  <r>
    <n v="1000003887"/>
    <s v="St Louis Park ISD #283"/>
    <n v="1000001723"/>
    <x v="48"/>
    <s v="SNP"/>
    <x v="0"/>
    <x v="0"/>
    <n v="1"/>
    <s v="APPR"/>
    <x v="1"/>
    <x v="0"/>
    <x v="0"/>
    <x v="0"/>
    <m/>
    <x v="1"/>
    <x v="1"/>
    <s v="Resolved"/>
    <n v="4.3099999999999996"/>
    <n v="1185"/>
    <n v="5107.3500000000004"/>
    <n v="46268.655147939811"/>
    <x v="5"/>
  </r>
  <r>
    <n v="1000003887"/>
    <s v="St Louis Park ISD #283"/>
    <n v="1000001723"/>
    <x v="48"/>
    <s v="SNP"/>
    <x v="0"/>
    <x v="0"/>
    <n v="1"/>
    <s v="APPR"/>
    <x v="1"/>
    <x v="0"/>
    <x v="1"/>
    <x v="0"/>
    <m/>
    <x v="1"/>
    <x v="2"/>
    <s v="Resolved"/>
    <n v="0.09"/>
    <n v="2107"/>
    <n v="189.63"/>
    <n v="46268.655147939811"/>
    <x v="2"/>
  </r>
  <r>
    <n v="1000003887"/>
    <s v="St Louis Park ISD #283"/>
    <n v="1000001723"/>
    <x v="48"/>
    <s v="SNP"/>
    <x v="0"/>
    <x v="0"/>
    <n v="1"/>
    <s v="APPR"/>
    <x v="1"/>
    <x v="0"/>
    <x v="3"/>
    <x v="0"/>
    <m/>
    <x v="1"/>
    <x v="1"/>
    <s v="Resolved"/>
    <n v="3.91"/>
    <n v="175"/>
    <n v="684.25"/>
    <n v="46268.655147939811"/>
    <x v="5"/>
  </r>
  <r>
    <n v="1000003887"/>
    <s v="St Louis Park ISD #283"/>
    <n v="1000001723"/>
    <x v="48"/>
    <s v="SNP"/>
    <x v="0"/>
    <x v="0"/>
    <n v="1"/>
    <s v="APPR"/>
    <x v="1"/>
    <x v="0"/>
    <x v="2"/>
    <x v="0"/>
    <m/>
    <x v="1"/>
    <x v="3"/>
    <s v="Resolved"/>
    <n v="0.45"/>
    <n v="2107"/>
    <n v="948.15"/>
    <n v="46268.655147939811"/>
    <x v="5"/>
  </r>
  <r>
    <n v="1000003887"/>
    <s v="St Louis Park ISD #283"/>
    <n v="1000001723"/>
    <x v="48"/>
    <s v="SNP"/>
    <x v="0"/>
    <x v="0"/>
    <n v="1"/>
    <s v="APPR"/>
    <x v="0"/>
    <x v="0"/>
    <x v="3"/>
    <x v="1"/>
    <m/>
    <x v="3"/>
    <x v="0"/>
    <s v="Resolved"/>
    <n v="0.3"/>
    <n v="72"/>
    <n v="21.6"/>
    <n v="46268.655147939811"/>
    <x v="3"/>
  </r>
  <r>
    <n v="1000003887"/>
    <s v="St Louis Park ISD #283"/>
    <n v="1000001723"/>
    <x v="48"/>
    <s v="SNP"/>
    <x v="0"/>
    <x v="0"/>
    <n v="1"/>
    <s v="APPR"/>
    <x v="0"/>
    <x v="0"/>
    <x v="4"/>
    <x v="1"/>
    <m/>
    <x v="3"/>
    <x v="0"/>
    <s v="Resolved"/>
    <n v="2.63"/>
    <n v="307"/>
    <n v="807.41"/>
    <n v="46268.655147939811"/>
    <x v="6"/>
  </r>
  <r>
    <n v="1000003887"/>
    <s v="St Louis Park ISD #283"/>
    <n v="1000001723"/>
    <x v="48"/>
    <s v="SNP"/>
    <x v="0"/>
    <x v="0"/>
    <n v="1"/>
    <s v="APPR"/>
    <x v="1"/>
    <x v="0"/>
    <x v="0"/>
    <x v="1"/>
    <m/>
    <x v="2"/>
    <x v="0"/>
    <s v="Resolved"/>
    <n v="0.125"/>
    <n v="1185"/>
    <n v="148.12"/>
    <n v="46268.655147939811"/>
    <x v="3"/>
  </r>
  <r>
    <n v="1000003887"/>
    <s v="St Louis Park ISD #283"/>
    <n v="1000001723"/>
    <x v="48"/>
    <s v="SNP"/>
    <x v="0"/>
    <x v="0"/>
    <n v="1"/>
    <s v="APPR"/>
    <x v="1"/>
    <x v="0"/>
    <x v="3"/>
    <x v="1"/>
    <m/>
    <x v="2"/>
    <x v="0"/>
    <s v="Resolved"/>
    <n v="0.52500000000000002"/>
    <n v="175"/>
    <n v="91.87"/>
    <n v="46268.655147939811"/>
    <x v="3"/>
  </r>
  <r>
    <n v="1000003887"/>
    <s v="St Louis Park ISD #283"/>
    <n v="1000001723"/>
    <x v="48"/>
    <s v="SNP"/>
    <x v="0"/>
    <x v="0"/>
    <n v="1"/>
    <s v="APPR"/>
    <x v="1"/>
    <x v="0"/>
    <x v="4"/>
    <x v="1"/>
    <m/>
    <x v="2"/>
    <x v="0"/>
    <s v="Resolved"/>
    <n v="4.4349999999999996"/>
    <n v="747"/>
    <n v="3312.94"/>
    <n v="46268.655147939811"/>
    <x v="3"/>
  </r>
  <r>
    <n v="2000010482"/>
    <s v="Verndale Area Christian Academy"/>
    <n v="9000017450"/>
    <x v="49"/>
    <s v="SNP"/>
    <x v="0"/>
    <x v="0"/>
    <n v="0"/>
    <s v="APPR"/>
    <x v="0"/>
    <x v="0"/>
    <x v="0"/>
    <x v="0"/>
    <m/>
    <x v="0"/>
    <x v="0"/>
    <s v="Resolved"/>
    <n v="3.05"/>
    <n v="251"/>
    <n v="765.55"/>
    <n v="46268.655147939811"/>
    <x v="0"/>
  </r>
  <r>
    <n v="2000010482"/>
    <s v="Verndale Area Christian Academy"/>
    <n v="9000017450"/>
    <x v="49"/>
    <s v="SNP"/>
    <x v="0"/>
    <x v="0"/>
    <n v="0"/>
    <s v="APPR"/>
    <x v="0"/>
    <x v="0"/>
    <x v="3"/>
    <x v="0"/>
    <m/>
    <x v="0"/>
    <x v="0"/>
    <s v="Resolved"/>
    <n v="2.75"/>
    <n v="78"/>
    <n v="214.5"/>
    <n v="46268.655147939811"/>
    <x v="0"/>
  </r>
  <r>
    <n v="2000010482"/>
    <s v="Verndale Area Christian Academy"/>
    <n v="9000017450"/>
    <x v="49"/>
    <s v="SNP"/>
    <x v="0"/>
    <x v="0"/>
    <n v="0"/>
    <s v="APPR"/>
    <x v="0"/>
    <x v="0"/>
    <x v="4"/>
    <x v="0"/>
    <m/>
    <x v="0"/>
    <x v="0"/>
    <s v="Resolved"/>
    <n v="0.42"/>
    <n v="234"/>
    <n v="98.28"/>
    <n v="46268.655147939811"/>
    <x v="0"/>
  </r>
  <r>
    <n v="2000010482"/>
    <s v="Verndale Area Christian Academy"/>
    <n v="9000017450"/>
    <x v="49"/>
    <s v="SNP"/>
    <x v="0"/>
    <x v="0"/>
    <n v="0"/>
    <s v="APPR"/>
    <x v="1"/>
    <x v="0"/>
    <x v="0"/>
    <x v="0"/>
    <m/>
    <x v="1"/>
    <x v="1"/>
    <s v="Resolved"/>
    <n v="4.3099999999999996"/>
    <n v="314"/>
    <n v="1353.34"/>
    <n v="46268.655147939811"/>
    <x v="1"/>
  </r>
  <r>
    <n v="2000010482"/>
    <s v="Verndale Area Christian Academy"/>
    <n v="9000017450"/>
    <x v="49"/>
    <s v="SNP"/>
    <x v="0"/>
    <x v="0"/>
    <n v="0"/>
    <s v="APPR"/>
    <x v="1"/>
    <x v="0"/>
    <x v="1"/>
    <x v="0"/>
    <m/>
    <x v="1"/>
    <x v="2"/>
    <s v="Resolved"/>
    <n v="0.09"/>
    <n v="707"/>
    <n v="63.63"/>
    <n v="46268.655147939811"/>
    <x v="2"/>
  </r>
  <r>
    <n v="2000010482"/>
    <s v="Verndale Area Christian Academy"/>
    <n v="9000017450"/>
    <x v="49"/>
    <s v="SNP"/>
    <x v="0"/>
    <x v="0"/>
    <n v="0"/>
    <s v="APPR"/>
    <x v="1"/>
    <x v="0"/>
    <x v="3"/>
    <x v="0"/>
    <m/>
    <x v="1"/>
    <x v="1"/>
    <s v="Resolved"/>
    <n v="3.91"/>
    <n v="103"/>
    <n v="402.73"/>
    <n v="46268.655147939811"/>
    <x v="1"/>
  </r>
  <r>
    <n v="2000010482"/>
    <s v="Verndale Area Christian Academy"/>
    <n v="9000017450"/>
    <x v="49"/>
    <s v="SNP"/>
    <x v="0"/>
    <x v="0"/>
    <n v="0"/>
    <s v="APPR"/>
    <x v="1"/>
    <x v="0"/>
    <x v="2"/>
    <x v="0"/>
    <m/>
    <x v="1"/>
    <x v="3"/>
    <s v="Resolved"/>
    <n v="0.47"/>
    <n v="707"/>
    <n v="332.29"/>
    <n v="46268.655147939811"/>
    <x v="1"/>
  </r>
  <r>
    <n v="2000010482"/>
    <s v="Verndale Area Christian Academy"/>
    <n v="9000017450"/>
    <x v="49"/>
    <s v="SNP"/>
    <x v="0"/>
    <x v="0"/>
    <n v="0"/>
    <s v="APPR"/>
    <x v="0"/>
    <x v="0"/>
    <x v="3"/>
    <x v="1"/>
    <m/>
    <x v="3"/>
    <x v="0"/>
    <s v="Resolved"/>
    <n v="0.3"/>
    <n v="78"/>
    <n v="23.4"/>
    <n v="46268.655147939811"/>
    <x v="3"/>
  </r>
  <r>
    <n v="2000010482"/>
    <s v="Verndale Area Christian Academy"/>
    <n v="9000017450"/>
    <x v="49"/>
    <s v="SNP"/>
    <x v="0"/>
    <x v="0"/>
    <n v="0"/>
    <s v="APPR"/>
    <x v="0"/>
    <x v="0"/>
    <x v="4"/>
    <x v="1"/>
    <m/>
    <x v="3"/>
    <x v="0"/>
    <s v="Resolved"/>
    <n v="2.63"/>
    <n v="234"/>
    <n v="615.41999999999996"/>
    <n v="46268.655147939811"/>
    <x v="6"/>
  </r>
  <r>
    <n v="2000010482"/>
    <s v="Verndale Area Christian Academy"/>
    <n v="9000017450"/>
    <x v="49"/>
    <s v="SNP"/>
    <x v="0"/>
    <x v="0"/>
    <n v="0"/>
    <s v="APPR"/>
    <x v="1"/>
    <x v="0"/>
    <x v="0"/>
    <x v="1"/>
    <m/>
    <x v="2"/>
    <x v="0"/>
    <s v="Resolved"/>
    <n v="0.125"/>
    <n v="314"/>
    <n v="39.25"/>
    <n v="46268.655147939811"/>
    <x v="3"/>
  </r>
  <r>
    <n v="2000010482"/>
    <s v="Verndale Area Christian Academy"/>
    <n v="9000017450"/>
    <x v="49"/>
    <s v="SNP"/>
    <x v="0"/>
    <x v="0"/>
    <n v="0"/>
    <s v="APPR"/>
    <x v="1"/>
    <x v="0"/>
    <x v="3"/>
    <x v="1"/>
    <m/>
    <x v="2"/>
    <x v="0"/>
    <s v="Resolved"/>
    <n v="0.52500000000000002"/>
    <n v="103"/>
    <n v="54.07"/>
    <n v="46268.655147939811"/>
    <x v="3"/>
  </r>
  <r>
    <n v="2000010482"/>
    <s v="Verndale Area Christian Academy"/>
    <n v="9000017450"/>
    <x v="49"/>
    <s v="SNP"/>
    <x v="0"/>
    <x v="0"/>
    <n v="0"/>
    <s v="APPR"/>
    <x v="1"/>
    <x v="0"/>
    <x v="4"/>
    <x v="1"/>
    <m/>
    <x v="2"/>
    <x v="0"/>
    <s v="Resolved"/>
    <n v="4.4349999999999996"/>
    <n v="290"/>
    <n v="1286.1500000000001"/>
    <n v="46268.655147939811"/>
    <x v="3"/>
  </r>
  <r>
    <n v="1000004376"/>
    <s v="Village Ranch"/>
    <n v="9000016676"/>
    <x v="50"/>
    <s v="SNP"/>
    <x v="0"/>
    <x v="0"/>
    <n v="0"/>
    <s v="APPR"/>
    <x v="0"/>
    <x v="0"/>
    <x v="0"/>
    <x v="0"/>
    <m/>
    <x v="0"/>
    <x v="0"/>
    <s v="Resolved"/>
    <n v="3.05"/>
    <n v="225"/>
    <n v="686.25"/>
    <n v="46268.655147939811"/>
    <x v="0"/>
  </r>
  <r>
    <n v="1000004376"/>
    <s v="Village Ranch"/>
    <n v="9000016676"/>
    <x v="50"/>
    <s v="SNP"/>
    <x v="0"/>
    <x v="0"/>
    <n v="0"/>
    <s v="APPR"/>
    <x v="1"/>
    <x v="0"/>
    <x v="0"/>
    <x v="0"/>
    <m/>
    <x v="1"/>
    <x v="1"/>
    <s v="Resolved"/>
    <n v="4.3099999999999996"/>
    <n v="219"/>
    <n v="943.89"/>
    <n v="46268.655147939811"/>
    <x v="1"/>
  </r>
  <r>
    <n v="1000004376"/>
    <s v="Village Ranch"/>
    <n v="9000016676"/>
    <x v="50"/>
    <s v="SNP"/>
    <x v="0"/>
    <x v="0"/>
    <n v="0"/>
    <s v="APPR"/>
    <x v="1"/>
    <x v="0"/>
    <x v="1"/>
    <x v="0"/>
    <m/>
    <x v="1"/>
    <x v="2"/>
    <s v="Resolved"/>
    <n v="0.09"/>
    <n v="219"/>
    <n v="19.71"/>
    <n v="46268.655147939811"/>
    <x v="2"/>
  </r>
  <r>
    <n v="1000004376"/>
    <s v="Village Ranch"/>
    <n v="9000016676"/>
    <x v="50"/>
    <s v="SNP"/>
    <x v="0"/>
    <x v="0"/>
    <n v="0"/>
    <s v="APPR"/>
    <x v="1"/>
    <x v="0"/>
    <x v="2"/>
    <x v="0"/>
    <m/>
    <x v="1"/>
    <x v="3"/>
    <s v="Resolved"/>
    <n v="0.47"/>
    <n v="219"/>
    <n v="102.93"/>
    <n v="46268.655147939811"/>
    <x v="1"/>
  </r>
  <r>
    <n v="1000004376"/>
    <s v="Village Ranch"/>
    <n v="9000016676"/>
    <x v="50"/>
    <s v="SNP"/>
    <x v="0"/>
    <x v="0"/>
    <n v="0"/>
    <s v="APPR"/>
    <x v="1"/>
    <x v="0"/>
    <x v="0"/>
    <x v="1"/>
    <m/>
    <x v="2"/>
    <x v="0"/>
    <s v="Resolved"/>
    <n v="0.125"/>
    <n v="219"/>
    <n v="27.37"/>
    <n v="46268.655147939811"/>
    <x v="3"/>
  </r>
  <r>
    <n v="1000004376"/>
    <s v="Village Ranch"/>
    <n v="1000003205"/>
    <x v="51"/>
    <s v="SNP"/>
    <x v="0"/>
    <x v="0"/>
    <n v="0"/>
    <s v="APPR"/>
    <x v="0"/>
    <x v="0"/>
    <x v="0"/>
    <x v="0"/>
    <m/>
    <x v="0"/>
    <x v="0"/>
    <s v="Resolved"/>
    <n v="3.05"/>
    <n v="875"/>
    <n v="2668.75"/>
    <n v="46268.655147939811"/>
    <x v="0"/>
  </r>
  <r>
    <n v="1000004376"/>
    <s v="Village Ranch"/>
    <n v="1000003205"/>
    <x v="51"/>
    <s v="SNP"/>
    <x v="0"/>
    <x v="0"/>
    <n v="0"/>
    <s v="APPR"/>
    <x v="1"/>
    <x v="0"/>
    <x v="0"/>
    <x v="0"/>
    <m/>
    <x v="1"/>
    <x v="1"/>
    <s v="Resolved"/>
    <n v="4.3099999999999996"/>
    <n v="850"/>
    <n v="3663.5"/>
    <n v="46268.655147939811"/>
    <x v="1"/>
  </r>
  <r>
    <n v="1000004376"/>
    <s v="Village Ranch"/>
    <n v="1000003205"/>
    <x v="51"/>
    <s v="SNP"/>
    <x v="0"/>
    <x v="0"/>
    <n v="0"/>
    <s v="APPR"/>
    <x v="1"/>
    <x v="0"/>
    <x v="1"/>
    <x v="0"/>
    <m/>
    <x v="1"/>
    <x v="2"/>
    <s v="Resolved"/>
    <n v="0.09"/>
    <n v="850"/>
    <n v="76.5"/>
    <n v="46268.655147939811"/>
    <x v="2"/>
  </r>
  <r>
    <n v="1000004376"/>
    <s v="Village Ranch"/>
    <n v="1000003205"/>
    <x v="51"/>
    <s v="SNP"/>
    <x v="0"/>
    <x v="0"/>
    <n v="0"/>
    <s v="APPR"/>
    <x v="1"/>
    <x v="0"/>
    <x v="2"/>
    <x v="0"/>
    <m/>
    <x v="1"/>
    <x v="3"/>
    <s v="Resolved"/>
    <n v="0.47"/>
    <n v="850"/>
    <n v="399.5"/>
    <n v="46268.655147939811"/>
    <x v="1"/>
  </r>
  <r>
    <n v="1000004376"/>
    <s v="Village Ranch"/>
    <n v="1000003205"/>
    <x v="51"/>
    <s v="SNP"/>
    <x v="0"/>
    <x v="0"/>
    <n v="0"/>
    <s v="APPR"/>
    <x v="1"/>
    <x v="0"/>
    <x v="0"/>
    <x v="1"/>
    <m/>
    <x v="2"/>
    <x v="0"/>
    <s v="Resolved"/>
    <n v="0.125"/>
    <n v="850"/>
    <n v="106.25"/>
    <n v="46268.655147939811"/>
    <x v="3"/>
  </r>
  <r>
    <n v="1000003888"/>
    <s v="Wayzata ISD #284"/>
    <n v="1000001733"/>
    <x v="52"/>
    <s v="SNP"/>
    <x v="0"/>
    <x v="0"/>
    <n v="0"/>
    <s v="APPR"/>
    <x v="0"/>
    <x v="0"/>
    <x v="0"/>
    <x v="0"/>
    <m/>
    <x v="0"/>
    <x v="0"/>
    <s v="Resolved"/>
    <n v="2.54"/>
    <n v="523"/>
    <n v="1328.42"/>
    <n v="46268.655147939811"/>
    <x v="7"/>
  </r>
  <r>
    <n v="1000003888"/>
    <s v="Wayzata ISD #284"/>
    <n v="1000001733"/>
    <x v="52"/>
    <s v="SNP"/>
    <x v="0"/>
    <x v="0"/>
    <n v="0"/>
    <s v="APPR"/>
    <x v="0"/>
    <x v="0"/>
    <x v="3"/>
    <x v="0"/>
    <m/>
    <x v="0"/>
    <x v="0"/>
    <s v="Resolved"/>
    <n v="2.2400000000000002"/>
    <n v="104"/>
    <n v="232.96"/>
    <n v="46268.655147939811"/>
    <x v="7"/>
  </r>
  <r>
    <n v="1000003888"/>
    <s v="Wayzata ISD #284"/>
    <n v="1000001733"/>
    <x v="52"/>
    <s v="SNP"/>
    <x v="0"/>
    <x v="0"/>
    <n v="0"/>
    <s v="APPR"/>
    <x v="0"/>
    <x v="0"/>
    <x v="4"/>
    <x v="0"/>
    <m/>
    <x v="0"/>
    <x v="0"/>
    <s v="Resolved"/>
    <n v="0.42"/>
    <n v="806"/>
    <n v="338.52"/>
    <n v="46268.655147939811"/>
    <x v="7"/>
  </r>
  <r>
    <n v="1000003888"/>
    <s v="Wayzata ISD #284"/>
    <n v="1000001733"/>
    <x v="52"/>
    <s v="SNP"/>
    <x v="0"/>
    <x v="0"/>
    <n v="0"/>
    <s v="APPR"/>
    <x v="1"/>
    <x v="0"/>
    <x v="0"/>
    <x v="0"/>
    <m/>
    <x v="1"/>
    <x v="1"/>
    <s v="Resolved"/>
    <n v="4.3099999999999996"/>
    <n v="833"/>
    <n v="3590.23"/>
    <n v="46268.655147939811"/>
    <x v="5"/>
  </r>
  <r>
    <n v="1000003888"/>
    <s v="Wayzata ISD #284"/>
    <n v="1000001733"/>
    <x v="52"/>
    <s v="SNP"/>
    <x v="0"/>
    <x v="0"/>
    <n v="0"/>
    <s v="APPR"/>
    <x v="1"/>
    <x v="0"/>
    <x v="1"/>
    <x v="0"/>
    <m/>
    <x v="1"/>
    <x v="2"/>
    <s v="Resolved"/>
    <n v="0.09"/>
    <n v="2676"/>
    <n v="240.84"/>
    <n v="46268.655147939811"/>
    <x v="2"/>
  </r>
  <r>
    <n v="1000003888"/>
    <s v="Wayzata ISD #284"/>
    <n v="1000001733"/>
    <x v="52"/>
    <s v="SNP"/>
    <x v="0"/>
    <x v="0"/>
    <n v="0"/>
    <s v="APPR"/>
    <x v="1"/>
    <x v="0"/>
    <x v="3"/>
    <x v="0"/>
    <m/>
    <x v="1"/>
    <x v="1"/>
    <s v="Resolved"/>
    <n v="3.91"/>
    <n v="166"/>
    <n v="649.05999999999995"/>
    <n v="46268.655147939811"/>
    <x v="5"/>
  </r>
  <r>
    <n v="1000003888"/>
    <s v="Wayzata ISD #284"/>
    <n v="1000001733"/>
    <x v="52"/>
    <s v="SNP"/>
    <x v="0"/>
    <x v="0"/>
    <n v="0"/>
    <s v="APPR"/>
    <x v="1"/>
    <x v="0"/>
    <x v="2"/>
    <x v="0"/>
    <m/>
    <x v="1"/>
    <x v="3"/>
    <s v="Resolved"/>
    <n v="0.45"/>
    <n v="2676"/>
    <n v="1204.2"/>
    <n v="46268.655147939811"/>
    <x v="5"/>
  </r>
  <r>
    <n v="1000003888"/>
    <s v="Wayzata ISD #284"/>
    <n v="1000001733"/>
    <x v="52"/>
    <s v="SNP"/>
    <x v="0"/>
    <x v="0"/>
    <n v="0"/>
    <s v="APPR"/>
    <x v="0"/>
    <x v="0"/>
    <x v="3"/>
    <x v="1"/>
    <m/>
    <x v="3"/>
    <x v="0"/>
    <s v="Resolved"/>
    <n v="0.3"/>
    <n v="104"/>
    <n v="31.2"/>
    <n v="46268.655147939811"/>
    <x v="3"/>
  </r>
  <r>
    <n v="1000003888"/>
    <s v="Wayzata ISD #284"/>
    <n v="1000001733"/>
    <x v="52"/>
    <s v="SNP"/>
    <x v="0"/>
    <x v="0"/>
    <n v="0"/>
    <s v="APPR"/>
    <x v="0"/>
    <x v="0"/>
    <x v="4"/>
    <x v="1"/>
    <m/>
    <x v="3"/>
    <x v="0"/>
    <s v="Resolved"/>
    <n v="2.12"/>
    <n v="806"/>
    <n v="1708.72"/>
    <n v="46268.655147939811"/>
    <x v="8"/>
  </r>
  <r>
    <n v="1000003888"/>
    <s v="Wayzata ISD #284"/>
    <n v="1000001733"/>
    <x v="52"/>
    <s v="SNP"/>
    <x v="0"/>
    <x v="0"/>
    <n v="0"/>
    <s v="APPR"/>
    <x v="1"/>
    <x v="0"/>
    <x v="0"/>
    <x v="1"/>
    <m/>
    <x v="2"/>
    <x v="0"/>
    <s v="Resolved"/>
    <n v="0.125"/>
    <n v="833"/>
    <n v="104.12"/>
    <n v="46268.655147939811"/>
    <x v="3"/>
  </r>
  <r>
    <n v="1000003888"/>
    <s v="Wayzata ISD #284"/>
    <n v="1000001733"/>
    <x v="52"/>
    <s v="SNP"/>
    <x v="0"/>
    <x v="0"/>
    <n v="0"/>
    <s v="APPR"/>
    <x v="1"/>
    <x v="0"/>
    <x v="3"/>
    <x v="1"/>
    <m/>
    <x v="2"/>
    <x v="0"/>
    <s v="Resolved"/>
    <n v="0.52500000000000002"/>
    <n v="166"/>
    <n v="87.15"/>
    <n v="46268.655147939811"/>
    <x v="3"/>
  </r>
  <r>
    <n v="1000003888"/>
    <s v="Wayzata ISD #284"/>
    <n v="1000001733"/>
    <x v="52"/>
    <s v="SNP"/>
    <x v="0"/>
    <x v="0"/>
    <n v="0"/>
    <s v="APPR"/>
    <x v="1"/>
    <x v="0"/>
    <x v="4"/>
    <x v="1"/>
    <m/>
    <x v="2"/>
    <x v="0"/>
    <s v="Resolved"/>
    <n v="4.4349999999999996"/>
    <n v="1677"/>
    <n v="7437.49"/>
    <n v="46268.655147939811"/>
    <x v="3"/>
  </r>
  <r>
    <n v="1000003888"/>
    <s v="Wayzata ISD #284"/>
    <n v="1000001728"/>
    <x v="53"/>
    <s v="SNP"/>
    <x v="0"/>
    <x v="0"/>
    <n v="0"/>
    <s v="APPR"/>
    <x v="0"/>
    <x v="0"/>
    <x v="0"/>
    <x v="0"/>
    <m/>
    <x v="0"/>
    <x v="0"/>
    <s v="Resolved"/>
    <n v="2.54"/>
    <n v="321"/>
    <n v="815.34"/>
    <n v="46268.655147939811"/>
    <x v="7"/>
  </r>
  <r>
    <n v="1000003888"/>
    <s v="Wayzata ISD #284"/>
    <n v="1000001728"/>
    <x v="53"/>
    <s v="SNP"/>
    <x v="0"/>
    <x v="0"/>
    <n v="0"/>
    <s v="APPR"/>
    <x v="0"/>
    <x v="0"/>
    <x v="3"/>
    <x v="0"/>
    <m/>
    <x v="0"/>
    <x v="0"/>
    <s v="Resolved"/>
    <n v="2.2400000000000002"/>
    <n v="69"/>
    <n v="154.56"/>
    <n v="46268.655147939811"/>
    <x v="7"/>
  </r>
  <r>
    <n v="1000003888"/>
    <s v="Wayzata ISD #284"/>
    <n v="1000001728"/>
    <x v="53"/>
    <s v="SNP"/>
    <x v="0"/>
    <x v="0"/>
    <n v="0"/>
    <s v="APPR"/>
    <x v="0"/>
    <x v="0"/>
    <x v="4"/>
    <x v="0"/>
    <m/>
    <x v="0"/>
    <x v="0"/>
    <s v="Resolved"/>
    <n v="0.42"/>
    <n v="364"/>
    <n v="152.88"/>
    <n v="46268.655147939811"/>
    <x v="7"/>
  </r>
  <r>
    <n v="1000003888"/>
    <s v="Wayzata ISD #284"/>
    <n v="1000001728"/>
    <x v="53"/>
    <s v="SNP"/>
    <x v="0"/>
    <x v="0"/>
    <n v="0"/>
    <s v="APPR"/>
    <x v="1"/>
    <x v="0"/>
    <x v="0"/>
    <x v="0"/>
    <m/>
    <x v="1"/>
    <x v="1"/>
    <s v="Resolved"/>
    <n v="4.3099999999999996"/>
    <n v="491"/>
    <n v="2116.21"/>
    <n v="46268.655147939811"/>
    <x v="5"/>
  </r>
  <r>
    <n v="1000003888"/>
    <s v="Wayzata ISD #284"/>
    <n v="1000001728"/>
    <x v="53"/>
    <s v="SNP"/>
    <x v="0"/>
    <x v="0"/>
    <n v="0"/>
    <s v="APPR"/>
    <x v="1"/>
    <x v="0"/>
    <x v="1"/>
    <x v="0"/>
    <m/>
    <x v="1"/>
    <x v="2"/>
    <s v="Resolved"/>
    <n v="0.09"/>
    <n v="1189"/>
    <n v="107.01"/>
    <n v="46268.655147939811"/>
    <x v="2"/>
  </r>
  <r>
    <n v="1000003888"/>
    <s v="Wayzata ISD #284"/>
    <n v="1000001728"/>
    <x v="53"/>
    <s v="SNP"/>
    <x v="0"/>
    <x v="0"/>
    <n v="0"/>
    <s v="APPR"/>
    <x v="1"/>
    <x v="0"/>
    <x v="3"/>
    <x v="0"/>
    <m/>
    <x v="1"/>
    <x v="1"/>
    <s v="Resolved"/>
    <n v="3.91"/>
    <n v="104"/>
    <n v="406.64"/>
    <n v="46268.655147939811"/>
    <x v="5"/>
  </r>
  <r>
    <n v="1000003888"/>
    <s v="Wayzata ISD #284"/>
    <n v="1000001728"/>
    <x v="53"/>
    <s v="SNP"/>
    <x v="0"/>
    <x v="0"/>
    <n v="0"/>
    <s v="APPR"/>
    <x v="1"/>
    <x v="0"/>
    <x v="2"/>
    <x v="0"/>
    <m/>
    <x v="1"/>
    <x v="3"/>
    <s v="Resolved"/>
    <n v="0.45"/>
    <n v="1189"/>
    <n v="535.04999999999995"/>
    <n v="46268.655147939811"/>
    <x v="5"/>
  </r>
  <r>
    <n v="1000003888"/>
    <s v="Wayzata ISD #284"/>
    <n v="1000001728"/>
    <x v="53"/>
    <s v="SNP"/>
    <x v="0"/>
    <x v="0"/>
    <n v="0"/>
    <s v="APPR"/>
    <x v="0"/>
    <x v="0"/>
    <x v="3"/>
    <x v="1"/>
    <m/>
    <x v="3"/>
    <x v="0"/>
    <s v="Resolved"/>
    <n v="0.3"/>
    <n v="69"/>
    <n v="20.7"/>
    <n v="46268.655147939811"/>
    <x v="3"/>
  </r>
  <r>
    <n v="1000003888"/>
    <s v="Wayzata ISD #284"/>
    <n v="1000001728"/>
    <x v="53"/>
    <s v="SNP"/>
    <x v="0"/>
    <x v="0"/>
    <n v="0"/>
    <s v="APPR"/>
    <x v="0"/>
    <x v="0"/>
    <x v="4"/>
    <x v="1"/>
    <m/>
    <x v="3"/>
    <x v="0"/>
    <s v="Resolved"/>
    <n v="2.12"/>
    <n v="364"/>
    <n v="771.68"/>
    <n v="46268.655147939811"/>
    <x v="8"/>
  </r>
  <r>
    <n v="1000003888"/>
    <s v="Wayzata ISD #284"/>
    <n v="1000001728"/>
    <x v="53"/>
    <s v="SNP"/>
    <x v="0"/>
    <x v="0"/>
    <n v="0"/>
    <s v="APPR"/>
    <x v="1"/>
    <x v="0"/>
    <x v="0"/>
    <x v="1"/>
    <m/>
    <x v="2"/>
    <x v="0"/>
    <s v="Resolved"/>
    <n v="0.125"/>
    <n v="491"/>
    <n v="61.37"/>
    <n v="46268.655147939811"/>
    <x v="3"/>
  </r>
  <r>
    <n v="1000003888"/>
    <s v="Wayzata ISD #284"/>
    <n v="1000001728"/>
    <x v="53"/>
    <s v="SNP"/>
    <x v="0"/>
    <x v="0"/>
    <n v="0"/>
    <s v="APPR"/>
    <x v="1"/>
    <x v="0"/>
    <x v="3"/>
    <x v="1"/>
    <m/>
    <x v="2"/>
    <x v="0"/>
    <s v="Resolved"/>
    <n v="0.52500000000000002"/>
    <n v="104"/>
    <n v="54.6"/>
    <n v="46268.655147939811"/>
    <x v="3"/>
  </r>
  <r>
    <n v="1000003888"/>
    <s v="Wayzata ISD #284"/>
    <n v="1000001728"/>
    <x v="53"/>
    <s v="SNP"/>
    <x v="0"/>
    <x v="0"/>
    <n v="0"/>
    <s v="APPR"/>
    <x v="1"/>
    <x v="0"/>
    <x v="4"/>
    <x v="1"/>
    <m/>
    <x v="2"/>
    <x v="0"/>
    <s v="Resolved"/>
    <n v="4.4349999999999996"/>
    <n v="594"/>
    <n v="2634.39"/>
    <n v="46268.655147939811"/>
    <x v="3"/>
  </r>
  <r>
    <n v="1000003888"/>
    <s v="Wayzata ISD #284"/>
    <n v="1000001725"/>
    <x v="54"/>
    <s v="SNP"/>
    <x v="0"/>
    <x v="0"/>
    <n v="0"/>
    <s v="APPR"/>
    <x v="0"/>
    <x v="0"/>
    <x v="0"/>
    <x v="0"/>
    <m/>
    <x v="0"/>
    <x v="0"/>
    <s v="Resolved"/>
    <n v="2.54"/>
    <n v="70"/>
    <n v="177.8"/>
    <n v="46268.655147939811"/>
    <x v="7"/>
  </r>
  <r>
    <n v="1000003888"/>
    <s v="Wayzata ISD #284"/>
    <n v="1000001725"/>
    <x v="54"/>
    <s v="SNP"/>
    <x v="0"/>
    <x v="0"/>
    <n v="0"/>
    <s v="APPR"/>
    <x v="0"/>
    <x v="0"/>
    <x v="3"/>
    <x v="0"/>
    <m/>
    <x v="0"/>
    <x v="0"/>
    <s v="Resolved"/>
    <n v="2.2400000000000002"/>
    <n v="7"/>
    <n v="15.68"/>
    <n v="46268.655147939811"/>
    <x v="7"/>
  </r>
  <r>
    <n v="1000003888"/>
    <s v="Wayzata ISD #284"/>
    <n v="1000001725"/>
    <x v="54"/>
    <s v="SNP"/>
    <x v="0"/>
    <x v="0"/>
    <n v="0"/>
    <s v="APPR"/>
    <x v="0"/>
    <x v="0"/>
    <x v="4"/>
    <x v="0"/>
    <m/>
    <x v="0"/>
    <x v="0"/>
    <s v="Resolved"/>
    <n v="0.42"/>
    <n v="69"/>
    <n v="28.98"/>
    <n v="46268.655147939811"/>
    <x v="7"/>
  </r>
  <r>
    <n v="1000003888"/>
    <s v="Wayzata ISD #284"/>
    <n v="1000001725"/>
    <x v="54"/>
    <s v="SNP"/>
    <x v="0"/>
    <x v="0"/>
    <n v="0"/>
    <s v="APPR"/>
    <x v="1"/>
    <x v="0"/>
    <x v="0"/>
    <x v="0"/>
    <m/>
    <x v="1"/>
    <x v="1"/>
    <s v="Resolved"/>
    <n v="4.3099999999999996"/>
    <n v="142"/>
    <n v="612.02"/>
    <n v="46268.655147939811"/>
    <x v="5"/>
  </r>
  <r>
    <n v="1000003888"/>
    <s v="Wayzata ISD #284"/>
    <n v="1000001725"/>
    <x v="54"/>
    <s v="SNP"/>
    <x v="0"/>
    <x v="0"/>
    <n v="0"/>
    <s v="APPR"/>
    <x v="1"/>
    <x v="0"/>
    <x v="1"/>
    <x v="0"/>
    <m/>
    <x v="1"/>
    <x v="2"/>
    <s v="Resolved"/>
    <n v="0.09"/>
    <n v="473"/>
    <n v="42.57"/>
    <n v="46268.655147939811"/>
    <x v="2"/>
  </r>
  <r>
    <n v="1000003888"/>
    <s v="Wayzata ISD #284"/>
    <n v="1000001725"/>
    <x v="54"/>
    <s v="SNP"/>
    <x v="0"/>
    <x v="0"/>
    <n v="0"/>
    <s v="APPR"/>
    <x v="1"/>
    <x v="0"/>
    <x v="3"/>
    <x v="0"/>
    <m/>
    <x v="1"/>
    <x v="1"/>
    <s v="Resolved"/>
    <n v="3.91"/>
    <n v="12"/>
    <n v="46.92"/>
    <n v="46268.655147939811"/>
    <x v="5"/>
  </r>
  <r>
    <n v="1000003888"/>
    <s v="Wayzata ISD #284"/>
    <n v="1000001725"/>
    <x v="54"/>
    <s v="SNP"/>
    <x v="0"/>
    <x v="0"/>
    <n v="0"/>
    <s v="APPR"/>
    <x v="1"/>
    <x v="0"/>
    <x v="2"/>
    <x v="0"/>
    <m/>
    <x v="1"/>
    <x v="3"/>
    <s v="Resolved"/>
    <n v="0.45"/>
    <n v="473"/>
    <n v="212.85"/>
    <n v="46268.655147939811"/>
    <x v="5"/>
  </r>
  <r>
    <n v="1000003888"/>
    <s v="Wayzata ISD #284"/>
    <n v="1000001725"/>
    <x v="54"/>
    <s v="SNP"/>
    <x v="0"/>
    <x v="0"/>
    <n v="0"/>
    <s v="APPR"/>
    <x v="0"/>
    <x v="0"/>
    <x v="3"/>
    <x v="1"/>
    <m/>
    <x v="3"/>
    <x v="0"/>
    <s v="Resolved"/>
    <n v="0.3"/>
    <n v="7"/>
    <n v="2.1"/>
    <n v="46268.655147939811"/>
    <x v="3"/>
  </r>
  <r>
    <n v="1000003888"/>
    <s v="Wayzata ISD #284"/>
    <n v="1000001725"/>
    <x v="54"/>
    <s v="SNP"/>
    <x v="0"/>
    <x v="0"/>
    <n v="0"/>
    <s v="APPR"/>
    <x v="0"/>
    <x v="0"/>
    <x v="4"/>
    <x v="1"/>
    <m/>
    <x v="3"/>
    <x v="0"/>
    <s v="Resolved"/>
    <n v="2.12"/>
    <n v="69"/>
    <n v="146.28"/>
    <n v="46268.655147939811"/>
    <x v="8"/>
  </r>
  <r>
    <n v="1000003888"/>
    <s v="Wayzata ISD #284"/>
    <n v="1000001725"/>
    <x v="54"/>
    <s v="SNP"/>
    <x v="0"/>
    <x v="0"/>
    <n v="0"/>
    <s v="APPR"/>
    <x v="1"/>
    <x v="0"/>
    <x v="0"/>
    <x v="1"/>
    <m/>
    <x v="2"/>
    <x v="0"/>
    <s v="Resolved"/>
    <n v="0.125"/>
    <n v="142"/>
    <n v="17.75"/>
    <n v="46268.655147939811"/>
    <x v="3"/>
  </r>
  <r>
    <n v="1000003888"/>
    <s v="Wayzata ISD #284"/>
    <n v="1000001725"/>
    <x v="54"/>
    <s v="SNP"/>
    <x v="0"/>
    <x v="0"/>
    <n v="0"/>
    <s v="APPR"/>
    <x v="1"/>
    <x v="0"/>
    <x v="3"/>
    <x v="1"/>
    <m/>
    <x v="2"/>
    <x v="0"/>
    <s v="Resolved"/>
    <n v="0.52500000000000002"/>
    <n v="12"/>
    <n v="6.3"/>
    <n v="46268.655147939811"/>
    <x v="3"/>
  </r>
  <r>
    <n v="1000003888"/>
    <s v="Wayzata ISD #284"/>
    <n v="1000001725"/>
    <x v="54"/>
    <s v="SNP"/>
    <x v="0"/>
    <x v="0"/>
    <n v="0"/>
    <s v="APPR"/>
    <x v="1"/>
    <x v="0"/>
    <x v="4"/>
    <x v="1"/>
    <m/>
    <x v="2"/>
    <x v="0"/>
    <s v="Resolved"/>
    <n v="4.4349999999999996"/>
    <n v="319"/>
    <n v="1414.76"/>
    <n v="46268.655147939811"/>
    <x v="3"/>
  </r>
  <r>
    <n v="1000006260"/>
    <s v="West Central Regional Juvenile Center"/>
    <n v="1000006261"/>
    <x v="55"/>
    <s v="SNP"/>
    <x v="0"/>
    <x v="0"/>
    <n v="0"/>
    <s v="APPR"/>
    <x v="2"/>
    <x v="0"/>
    <x v="0"/>
    <x v="0"/>
    <m/>
    <x v="1"/>
    <x v="4"/>
    <s v="Resolved"/>
    <n v="1.3"/>
    <n v="657"/>
    <n v="854.1"/>
    <n v="46268.655147939811"/>
    <x v="4"/>
  </r>
  <r>
    <n v="1000006260"/>
    <s v="West Central Regional Juvenile Center"/>
    <n v="1000006261"/>
    <x v="55"/>
    <s v="SNP"/>
    <x v="0"/>
    <x v="0"/>
    <n v="0"/>
    <s v="APPR"/>
    <x v="0"/>
    <x v="0"/>
    <x v="0"/>
    <x v="0"/>
    <m/>
    <x v="0"/>
    <x v="0"/>
    <s v="Resolved"/>
    <n v="3.05"/>
    <n v="1673"/>
    <n v="5102.6499999999996"/>
    <n v="46268.655147939811"/>
    <x v="0"/>
  </r>
  <r>
    <n v="1000006260"/>
    <s v="West Central Regional Juvenile Center"/>
    <n v="1000006261"/>
    <x v="55"/>
    <s v="SNP"/>
    <x v="0"/>
    <x v="0"/>
    <n v="0"/>
    <s v="APPR"/>
    <x v="1"/>
    <x v="0"/>
    <x v="0"/>
    <x v="0"/>
    <m/>
    <x v="1"/>
    <x v="1"/>
    <s v="Resolved"/>
    <n v="4.3099999999999996"/>
    <n v="1691"/>
    <n v="7288.21"/>
    <n v="46268.655147939811"/>
    <x v="1"/>
  </r>
  <r>
    <n v="1000006260"/>
    <s v="West Central Regional Juvenile Center"/>
    <n v="1000006261"/>
    <x v="55"/>
    <s v="SNP"/>
    <x v="0"/>
    <x v="0"/>
    <n v="0"/>
    <s v="APPR"/>
    <x v="1"/>
    <x v="0"/>
    <x v="1"/>
    <x v="0"/>
    <m/>
    <x v="1"/>
    <x v="2"/>
    <s v="Resolved"/>
    <n v="0.09"/>
    <n v="1691"/>
    <n v="152.19"/>
    <n v="46268.655147939811"/>
    <x v="2"/>
  </r>
  <r>
    <n v="1000006260"/>
    <s v="West Central Regional Juvenile Center"/>
    <n v="1000006261"/>
    <x v="55"/>
    <s v="SNP"/>
    <x v="0"/>
    <x v="0"/>
    <n v="0"/>
    <s v="APPR"/>
    <x v="1"/>
    <x v="0"/>
    <x v="2"/>
    <x v="0"/>
    <m/>
    <x v="1"/>
    <x v="3"/>
    <s v="Resolved"/>
    <n v="0.47"/>
    <n v="1691"/>
    <n v="794.77"/>
    <n v="46268.655147939811"/>
    <x v="1"/>
  </r>
  <r>
    <n v="1000006260"/>
    <s v="West Central Regional Juvenile Center"/>
    <n v="1000006261"/>
    <x v="55"/>
    <s v="SNP"/>
    <x v="0"/>
    <x v="0"/>
    <n v="0"/>
    <s v="APPR"/>
    <x v="1"/>
    <x v="0"/>
    <x v="0"/>
    <x v="1"/>
    <m/>
    <x v="2"/>
    <x v="0"/>
    <s v="Resolved"/>
    <n v="0.125"/>
    <n v="1691"/>
    <n v="211.37"/>
    <n v="46268.655147939811"/>
    <x v="3"/>
  </r>
  <r>
    <n v="1000003984"/>
    <s v="White Bear Lake ISD #624"/>
    <n v="1000002037"/>
    <x v="56"/>
    <s v="SNP"/>
    <x v="0"/>
    <x v="0"/>
    <n v="0"/>
    <s v="APPR"/>
    <x v="0"/>
    <x v="0"/>
    <x v="0"/>
    <x v="0"/>
    <m/>
    <x v="0"/>
    <x v="0"/>
    <s v="Resolved"/>
    <n v="2.54"/>
    <n v="200"/>
    <n v="508"/>
    <n v="46268.655147939811"/>
    <x v="7"/>
  </r>
  <r>
    <n v="1000003984"/>
    <s v="White Bear Lake ISD #624"/>
    <n v="1000002037"/>
    <x v="56"/>
    <s v="SNP"/>
    <x v="0"/>
    <x v="0"/>
    <n v="0"/>
    <s v="APPR"/>
    <x v="0"/>
    <x v="0"/>
    <x v="3"/>
    <x v="0"/>
    <m/>
    <x v="0"/>
    <x v="0"/>
    <s v="Resolved"/>
    <n v="2.2400000000000002"/>
    <n v="5"/>
    <n v="11.2"/>
    <n v="46268.655147939811"/>
    <x v="7"/>
  </r>
  <r>
    <n v="1000003984"/>
    <s v="White Bear Lake ISD #624"/>
    <n v="1000002037"/>
    <x v="56"/>
    <s v="SNP"/>
    <x v="0"/>
    <x v="0"/>
    <n v="0"/>
    <s v="APPR"/>
    <x v="0"/>
    <x v="0"/>
    <x v="4"/>
    <x v="0"/>
    <m/>
    <x v="0"/>
    <x v="0"/>
    <s v="Resolved"/>
    <n v="0.42"/>
    <n v="415"/>
    <n v="174.3"/>
    <n v="46268.655147939811"/>
    <x v="7"/>
  </r>
  <r>
    <n v="1000003984"/>
    <s v="White Bear Lake ISD #624"/>
    <n v="1000002037"/>
    <x v="56"/>
    <s v="SNP"/>
    <x v="0"/>
    <x v="0"/>
    <n v="0"/>
    <s v="APPR"/>
    <x v="1"/>
    <x v="0"/>
    <x v="0"/>
    <x v="0"/>
    <m/>
    <x v="1"/>
    <x v="1"/>
    <s v="Resolved"/>
    <n v="4.3099999999999996"/>
    <n v="201"/>
    <n v="866.31"/>
    <n v="46268.655147939811"/>
    <x v="5"/>
  </r>
  <r>
    <n v="1000003984"/>
    <s v="White Bear Lake ISD #624"/>
    <n v="1000002037"/>
    <x v="56"/>
    <s v="SNP"/>
    <x v="0"/>
    <x v="0"/>
    <n v="0"/>
    <s v="APPR"/>
    <x v="1"/>
    <x v="0"/>
    <x v="1"/>
    <x v="0"/>
    <m/>
    <x v="1"/>
    <x v="2"/>
    <s v="Resolved"/>
    <n v="0.09"/>
    <n v="630"/>
    <n v="56.7"/>
    <n v="46268.655147939811"/>
    <x v="2"/>
  </r>
  <r>
    <n v="1000003984"/>
    <s v="White Bear Lake ISD #624"/>
    <n v="1000002037"/>
    <x v="56"/>
    <s v="SNP"/>
    <x v="0"/>
    <x v="0"/>
    <n v="0"/>
    <s v="APPR"/>
    <x v="1"/>
    <x v="0"/>
    <x v="3"/>
    <x v="0"/>
    <m/>
    <x v="1"/>
    <x v="1"/>
    <s v="Resolved"/>
    <n v="3.91"/>
    <n v="5"/>
    <n v="19.55"/>
    <n v="46268.655147939811"/>
    <x v="5"/>
  </r>
  <r>
    <n v="1000003984"/>
    <s v="White Bear Lake ISD #624"/>
    <n v="1000002037"/>
    <x v="56"/>
    <s v="SNP"/>
    <x v="0"/>
    <x v="0"/>
    <n v="0"/>
    <s v="APPR"/>
    <x v="1"/>
    <x v="0"/>
    <x v="2"/>
    <x v="0"/>
    <m/>
    <x v="1"/>
    <x v="3"/>
    <s v="Resolved"/>
    <n v="0.45"/>
    <n v="630"/>
    <n v="283.5"/>
    <n v="46268.655147939811"/>
    <x v="5"/>
  </r>
  <r>
    <n v="1000003984"/>
    <s v="White Bear Lake ISD #624"/>
    <n v="1000002037"/>
    <x v="56"/>
    <s v="SNP"/>
    <x v="0"/>
    <x v="0"/>
    <n v="0"/>
    <s v="APPR"/>
    <x v="0"/>
    <x v="0"/>
    <x v="3"/>
    <x v="1"/>
    <m/>
    <x v="3"/>
    <x v="0"/>
    <s v="Resolved"/>
    <n v="0.3"/>
    <n v="5"/>
    <n v="1.5"/>
    <n v="46268.655147939811"/>
    <x v="3"/>
  </r>
  <r>
    <n v="1000003984"/>
    <s v="White Bear Lake ISD #624"/>
    <n v="1000002037"/>
    <x v="56"/>
    <s v="SNP"/>
    <x v="0"/>
    <x v="0"/>
    <n v="0"/>
    <s v="APPR"/>
    <x v="0"/>
    <x v="0"/>
    <x v="4"/>
    <x v="1"/>
    <m/>
    <x v="3"/>
    <x v="0"/>
    <s v="Resolved"/>
    <n v="2.12"/>
    <n v="415"/>
    <n v="879.8"/>
    <n v="46268.655147939811"/>
    <x v="8"/>
  </r>
  <r>
    <n v="1000003984"/>
    <s v="White Bear Lake ISD #624"/>
    <n v="1000002037"/>
    <x v="56"/>
    <s v="SNP"/>
    <x v="0"/>
    <x v="0"/>
    <n v="0"/>
    <s v="APPR"/>
    <x v="1"/>
    <x v="0"/>
    <x v="0"/>
    <x v="1"/>
    <m/>
    <x v="2"/>
    <x v="0"/>
    <s v="Resolved"/>
    <n v="0.125"/>
    <n v="201"/>
    <n v="25.12"/>
    <n v="46268.655147939811"/>
    <x v="3"/>
  </r>
  <r>
    <n v="1000003984"/>
    <s v="White Bear Lake ISD #624"/>
    <n v="1000002037"/>
    <x v="56"/>
    <s v="SNP"/>
    <x v="0"/>
    <x v="0"/>
    <n v="0"/>
    <s v="APPR"/>
    <x v="1"/>
    <x v="0"/>
    <x v="3"/>
    <x v="1"/>
    <m/>
    <x v="2"/>
    <x v="0"/>
    <s v="Resolved"/>
    <n v="0.52500000000000002"/>
    <n v="5"/>
    <n v="2.62"/>
    <n v="46268.655147939811"/>
    <x v="3"/>
  </r>
  <r>
    <n v="1000003984"/>
    <s v="White Bear Lake ISD #624"/>
    <n v="1000002037"/>
    <x v="56"/>
    <s v="SNP"/>
    <x v="0"/>
    <x v="0"/>
    <n v="0"/>
    <s v="APPR"/>
    <x v="1"/>
    <x v="0"/>
    <x v="4"/>
    <x v="1"/>
    <m/>
    <x v="2"/>
    <x v="0"/>
    <s v="Resolved"/>
    <n v="4.4349999999999996"/>
    <n v="424"/>
    <n v="1880.44"/>
    <n v="46268.655147939811"/>
    <x v="3"/>
  </r>
  <r>
    <n v="1000003984"/>
    <s v="White Bear Lake ISD #624"/>
    <n v="1000002041"/>
    <x v="57"/>
    <s v="SNP"/>
    <x v="0"/>
    <x v="0"/>
    <n v="0"/>
    <s v="APPR"/>
    <x v="0"/>
    <x v="0"/>
    <x v="0"/>
    <x v="0"/>
    <m/>
    <x v="0"/>
    <x v="0"/>
    <s v="Resolved"/>
    <n v="3.05"/>
    <n v="605"/>
    <n v="1845.25"/>
    <n v="46268.655147939811"/>
    <x v="0"/>
  </r>
  <r>
    <n v="1000003984"/>
    <s v="White Bear Lake ISD #624"/>
    <n v="1000002041"/>
    <x v="57"/>
    <s v="SNP"/>
    <x v="0"/>
    <x v="0"/>
    <n v="0"/>
    <s v="APPR"/>
    <x v="0"/>
    <x v="0"/>
    <x v="3"/>
    <x v="0"/>
    <m/>
    <x v="0"/>
    <x v="0"/>
    <s v="Resolved"/>
    <n v="2.75"/>
    <n v="85"/>
    <n v="233.75"/>
    <n v="46268.655147939811"/>
    <x v="0"/>
  </r>
  <r>
    <n v="1000003984"/>
    <s v="White Bear Lake ISD #624"/>
    <n v="1000002041"/>
    <x v="57"/>
    <s v="SNP"/>
    <x v="0"/>
    <x v="0"/>
    <n v="0"/>
    <s v="APPR"/>
    <x v="0"/>
    <x v="0"/>
    <x v="4"/>
    <x v="0"/>
    <m/>
    <x v="0"/>
    <x v="0"/>
    <s v="Resolved"/>
    <n v="0.42"/>
    <n v="614"/>
    <n v="257.88"/>
    <n v="46268.655147939811"/>
    <x v="0"/>
  </r>
  <r>
    <n v="1000003984"/>
    <s v="White Bear Lake ISD #624"/>
    <n v="1000002041"/>
    <x v="57"/>
    <s v="SNP"/>
    <x v="0"/>
    <x v="0"/>
    <n v="0"/>
    <s v="APPR"/>
    <x v="1"/>
    <x v="0"/>
    <x v="0"/>
    <x v="0"/>
    <m/>
    <x v="1"/>
    <x v="1"/>
    <s v="Resolved"/>
    <n v="4.3099999999999996"/>
    <n v="683"/>
    <n v="2943.73"/>
    <n v="46268.655147939811"/>
    <x v="5"/>
  </r>
  <r>
    <n v="1000003984"/>
    <s v="White Bear Lake ISD #624"/>
    <n v="1000002041"/>
    <x v="57"/>
    <s v="SNP"/>
    <x v="0"/>
    <x v="0"/>
    <n v="0"/>
    <s v="APPR"/>
    <x v="1"/>
    <x v="0"/>
    <x v="1"/>
    <x v="0"/>
    <m/>
    <x v="1"/>
    <x v="2"/>
    <s v="Resolved"/>
    <n v="0.09"/>
    <n v="1504"/>
    <n v="135.36000000000001"/>
    <n v="46268.655147939811"/>
    <x v="2"/>
  </r>
  <r>
    <n v="1000003984"/>
    <s v="White Bear Lake ISD #624"/>
    <n v="1000002041"/>
    <x v="57"/>
    <s v="SNP"/>
    <x v="0"/>
    <x v="0"/>
    <n v="0"/>
    <s v="APPR"/>
    <x v="1"/>
    <x v="0"/>
    <x v="3"/>
    <x v="0"/>
    <m/>
    <x v="1"/>
    <x v="1"/>
    <s v="Resolved"/>
    <n v="3.91"/>
    <n v="103"/>
    <n v="402.73"/>
    <n v="46268.655147939811"/>
    <x v="5"/>
  </r>
  <r>
    <n v="1000003984"/>
    <s v="White Bear Lake ISD #624"/>
    <n v="1000002041"/>
    <x v="57"/>
    <s v="SNP"/>
    <x v="0"/>
    <x v="0"/>
    <n v="0"/>
    <s v="APPR"/>
    <x v="1"/>
    <x v="0"/>
    <x v="2"/>
    <x v="0"/>
    <m/>
    <x v="1"/>
    <x v="3"/>
    <s v="Resolved"/>
    <n v="0.45"/>
    <n v="1504"/>
    <n v="676.8"/>
    <n v="46268.655147939811"/>
    <x v="5"/>
  </r>
  <r>
    <n v="1000003984"/>
    <s v="White Bear Lake ISD #624"/>
    <n v="1000002041"/>
    <x v="57"/>
    <s v="SNP"/>
    <x v="0"/>
    <x v="0"/>
    <n v="0"/>
    <s v="APPR"/>
    <x v="0"/>
    <x v="0"/>
    <x v="3"/>
    <x v="1"/>
    <m/>
    <x v="3"/>
    <x v="0"/>
    <s v="Resolved"/>
    <n v="0.3"/>
    <n v="85"/>
    <n v="25.5"/>
    <n v="46268.655147939811"/>
    <x v="3"/>
  </r>
  <r>
    <n v="1000003984"/>
    <s v="White Bear Lake ISD #624"/>
    <n v="1000002041"/>
    <x v="57"/>
    <s v="SNP"/>
    <x v="0"/>
    <x v="0"/>
    <n v="0"/>
    <s v="APPR"/>
    <x v="0"/>
    <x v="0"/>
    <x v="4"/>
    <x v="1"/>
    <m/>
    <x v="3"/>
    <x v="0"/>
    <s v="Resolved"/>
    <n v="2.63"/>
    <n v="614"/>
    <n v="1614.82"/>
    <n v="46268.655147939811"/>
    <x v="6"/>
  </r>
  <r>
    <n v="1000003984"/>
    <s v="White Bear Lake ISD #624"/>
    <n v="1000002041"/>
    <x v="57"/>
    <s v="SNP"/>
    <x v="0"/>
    <x v="0"/>
    <n v="0"/>
    <s v="APPR"/>
    <x v="1"/>
    <x v="0"/>
    <x v="0"/>
    <x v="1"/>
    <m/>
    <x v="2"/>
    <x v="0"/>
    <s v="Resolved"/>
    <n v="0.125"/>
    <n v="683"/>
    <n v="85.37"/>
    <n v="46268.655147939811"/>
    <x v="3"/>
  </r>
  <r>
    <n v="1000003984"/>
    <s v="White Bear Lake ISD #624"/>
    <n v="1000002041"/>
    <x v="57"/>
    <s v="SNP"/>
    <x v="0"/>
    <x v="0"/>
    <n v="0"/>
    <s v="APPR"/>
    <x v="1"/>
    <x v="0"/>
    <x v="3"/>
    <x v="1"/>
    <m/>
    <x v="2"/>
    <x v="0"/>
    <s v="Resolved"/>
    <n v="0.52500000000000002"/>
    <n v="103"/>
    <n v="54.07"/>
    <n v="46268.655147939811"/>
    <x v="3"/>
  </r>
  <r>
    <n v="1000003984"/>
    <s v="White Bear Lake ISD #624"/>
    <n v="1000002041"/>
    <x v="57"/>
    <s v="SNP"/>
    <x v="0"/>
    <x v="0"/>
    <n v="0"/>
    <s v="APPR"/>
    <x v="1"/>
    <x v="0"/>
    <x v="4"/>
    <x v="1"/>
    <m/>
    <x v="2"/>
    <x v="0"/>
    <s v="Resolved"/>
    <n v="4.4349999999999996"/>
    <n v="718"/>
    <n v="3184.33"/>
    <n v="46268.655147939811"/>
    <x v="3"/>
  </r>
  <r>
    <n v="1000003984"/>
    <s v="White Bear Lake ISD #624"/>
    <n v="9000020500"/>
    <x v="58"/>
    <s v="SNP"/>
    <x v="0"/>
    <x v="0"/>
    <n v="0"/>
    <s v="APPR"/>
    <x v="0"/>
    <x v="0"/>
    <x v="0"/>
    <x v="0"/>
    <m/>
    <x v="0"/>
    <x v="0"/>
    <s v="Resolved"/>
    <n v="2.54"/>
    <n v="237"/>
    <n v="601.98"/>
    <n v="46268.655147939811"/>
    <x v="7"/>
  </r>
  <r>
    <n v="1000003984"/>
    <s v="White Bear Lake ISD #624"/>
    <n v="9000020500"/>
    <x v="58"/>
    <s v="SNP"/>
    <x v="0"/>
    <x v="0"/>
    <n v="0"/>
    <s v="APPR"/>
    <x v="0"/>
    <x v="0"/>
    <x v="3"/>
    <x v="0"/>
    <m/>
    <x v="0"/>
    <x v="0"/>
    <s v="Resolved"/>
    <n v="2.2400000000000002"/>
    <n v="107"/>
    <n v="239.68"/>
    <n v="46268.655147939811"/>
    <x v="7"/>
  </r>
  <r>
    <n v="1000003984"/>
    <s v="White Bear Lake ISD #624"/>
    <n v="9000020500"/>
    <x v="58"/>
    <s v="SNP"/>
    <x v="0"/>
    <x v="0"/>
    <n v="0"/>
    <s v="APPR"/>
    <x v="0"/>
    <x v="0"/>
    <x v="4"/>
    <x v="0"/>
    <m/>
    <x v="0"/>
    <x v="0"/>
    <s v="Resolved"/>
    <n v="0.42"/>
    <n v="404"/>
    <n v="169.68"/>
    <n v="46268.655147939811"/>
    <x v="7"/>
  </r>
  <r>
    <n v="1000003984"/>
    <s v="White Bear Lake ISD #624"/>
    <n v="9000020500"/>
    <x v="58"/>
    <s v="SNP"/>
    <x v="0"/>
    <x v="0"/>
    <n v="0"/>
    <s v="APPR"/>
    <x v="1"/>
    <x v="0"/>
    <x v="0"/>
    <x v="0"/>
    <m/>
    <x v="1"/>
    <x v="1"/>
    <s v="Resolved"/>
    <n v="4.3099999999999996"/>
    <n v="263"/>
    <n v="1133.53"/>
    <n v="46268.655147939811"/>
    <x v="5"/>
  </r>
  <r>
    <n v="1000003984"/>
    <s v="White Bear Lake ISD #624"/>
    <n v="9000020500"/>
    <x v="58"/>
    <s v="SNP"/>
    <x v="0"/>
    <x v="0"/>
    <n v="0"/>
    <s v="APPR"/>
    <x v="1"/>
    <x v="0"/>
    <x v="1"/>
    <x v="0"/>
    <m/>
    <x v="1"/>
    <x v="2"/>
    <s v="Resolved"/>
    <n v="0.09"/>
    <n v="813"/>
    <n v="73.17"/>
    <n v="46268.655147939811"/>
    <x v="2"/>
  </r>
  <r>
    <n v="1000003984"/>
    <s v="White Bear Lake ISD #624"/>
    <n v="9000020500"/>
    <x v="58"/>
    <s v="SNP"/>
    <x v="0"/>
    <x v="0"/>
    <n v="0"/>
    <s v="APPR"/>
    <x v="1"/>
    <x v="0"/>
    <x v="3"/>
    <x v="0"/>
    <m/>
    <x v="1"/>
    <x v="1"/>
    <s v="Resolved"/>
    <n v="3.91"/>
    <n v="134"/>
    <n v="523.94000000000005"/>
    <n v="46268.655147939811"/>
    <x v="5"/>
  </r>
  <r>
    <n v="1000003984"/>
    <s v="White Bear Lake ISD #624"/>
    <n v="9000020500"/>
    <x v="58"/>
    <s v="SNP"/>
    <x v="0"/>
    <x v="0"/>
    <n v="0"/>
    <s v="APPR"/>
    <x v="1"/>
    <x v="0"/>
    <x v="2"/>
    <x v="0"/>
    <m/>
    <x v="1"/>
    <x v="3"/>
    <s v="Resolved"/>
    <n v="0.45"/>
    <n v="813"/>
    <n v="365.85"/>
    <n v="46268.655147939811"/>
    <x v="5"/>
  </r>
  <r>
    <n v="1000003984"/>
    <s v="White Bear Lake ISD #624"/>
    <n v="9000020500"/>
    <x v="58"/>
    <s v="SNP"/>
    <x v="0"/>
    <x v="0"/>
    <n v="0"/>
    <s v="APPR"/>
    <x v="0"/>
    <x v="0"/>
    <x v="3"/>
    <x v="1"/>
    <m/>
    <x v="3"/>
    <x v="0"/>
    <s v="Resolved"/>
    <n v="0.3"/>
    <n v="107"/>
    <n v="32.1"/>
    <n v="46268.655147939811"/>
    <x v="3"/>
  </r>
  <r>
    <n v="1000003984"/>
    <s v="White Bear Lake ISD #624"/>
    <n v="9000020500"/>
    <x v="58"/>
    <s v="SNP"/>
    <x v="0"/>
    <x v="0"/>
    <n v="0"/>
    <s v="APPR"/>
    <x v="0"/>
    <x v="0"/>
    <x v="4"/>
    <x v="1"/>
    <m/>
    <x v="3"/>
    <x v="0"/>
    <s v="Resolved"/>
    <n v="2.12"/>
    <n v="404"/>
    <n v="856.48"/>
    <n v="46268.655147939811"/>
    <x v="8"/>
  </r>
  <r>
    <n v="1000003984"/>
    <s v="White Bear Lake ISD #624"/>
    <n v="9000020500"/>
    <x v="58"/>
    <s v="SNP"/>
    <x v="0"/>
    <x v="0"/>
    <n v="0"/>
    <s v="APPR"/>
    <x v="1"/>
    <x v="0"/>
    <x v="0"/>
    <x v="1"/>
    <m/>
    <x v="2"/>
    <x v="0"/>
    <s v="Resolved"/>
    <n v="0.125"/>
    <n v="263"/>
    <n v="32.869999999999997"/>
    <n v="46268.655147939811"/>
    <x v="3"/>
  </r>
  <r>
    <n v="1000003984"/>
    <s v="White Bear Lake ISD #624"/>
    <n v="9000020500"/>
    <x v="58"/>
    <s v="SNP"/>
    <x v="0"/>
    <x v="0"/>
    <n v="0"/>
    <s v="APPR"/>
    <x v="1"/>
    <x v="0"/>
    <x v="3"/>
    <x v="1"/>
    <m/>
    <x v="2"/>
    <x v="0"/>
    <s v="Resolved"/>
    <n v="0.52500000000000002"/>
    <n v="134"/>
    <n v="70.349999999999994"/>
    <n v="46268.655147939811"/>
    <x v="3"/>
  </r>
  <r>
    <n v="1000003984"/>
    <s v="White Bear Lake ISD #624"/>
    <n v="9000020500"/>
    <x v="58"/>
    <s v="SNP"/>
    <x v="0"/>
    <x v="0"/>
    <n v="0"/>
    <s v="APPR"/>
    <x v="1"/>
    <x v="0"/>
    <x v="4"/>
    <x v="1"/>
    <m/>
    <x v="2"/>
    <x v="0"/>
    <s v="Resolved"/>
    <n v="4.4349999999999996"/>
    <n v="416"/>
    <n v="1844.96"/>
    <n v="46268.655147939811"/>
    <x v="3"/>
  </r>
  <r>
    <n v="1000003984"/>
    <s v="White Bear Lake ISD #624"/>
    <n v="1000002039"/>
    <x v="59"/>
    <s v="SNP"/>
    <x v="0"/>
    <x v="0"/>
    <n v="0"/>
    <s v="APPR"/>
    <x v="0"/>
    <x v="0"/>
    <x v="0"/>
    <x v="0"/>
    <m/>
    <x v="0"/>
    <x v="0"/>
    <s v="Resolved"/>
    <n v="2.54"/>
    <n v="195"/>
    <n v="495.3"/>
    <n v="46268.655147939811"/>
    <x v="7"/>
  </r>
  <r>
    <n v="1000003984"/>
    <s v="White Bear Lake ISD #624"/>
    <n v="1000002039"/>
    <x v="59"/>
    <s v="SNP"/>
    <x v="0"/>
    <x v="0"/>
    <n v="0"/>
    <s v="APPR"/>
    <x v="0"/>
    <x v="0"/>
    <x v="3"/>
    <x v="0"/>
    <m/>
    <x v="0"/>
    <x v="0"/>
    <s v="Resolved"/>
    <n v="2.2400000000000002"/>
    <n v="146"/>
    <n v="327.04000000000002"/>
    <n v="46268.655147939811"/>
    <x v="7"/>
  </r>
  <r>
    <n v="1000003984"/>
    <s v="White Bear Lake ISD #624"/>
    <n v="1000002039"/>
    <x v="59"/>
    <s v="SNP"/>
    <x v="0"/>
    <x v="0"/>
    <n v="0"/>
    <s v="APPR"/>
    <x v="0"/>
    <x v="0"/>
    <x v="4"/>
    <x v="0"/>
    <m/>
    <x v="0"/>
    <x v="0"/>
    <s v="Resolved"/>
    <n v="0.42"/>
    <n v="556"/>
    <n v="233.52"/>
    <n v="46268.655147939811"/>
    <x v="7"/>
  </r>
  <r>
    <n v="1000003984"/>
    <s v="White Bear Lake ISD #624"/>
    <n v="1000002039"/>
    <x v="59"/>
    <s v="SNP"/>
    <x v="0"/>
    <x v="0"/>
    <n v="0"/>
    <s v="APPR"/>
    <x v="1"/>
    <x v="0"/>
    <x v="0"/>
    <x v="0"/>
    <m/>
    <x v="1"/>
    <x v="1"/>
    <s v="Resolved"/>
    <n v="4.3099999999999996"/>
    <n v="278"/>
    <n v="1198.18"/>
    <n v="46268.655147939811"/>
    <x v="5"/>
  </r>
  <r>
    <n v="1000003984"/>
    <s v="White Bear Lake ISD #624"/>
    <n v="1000002039"/>
    <x v="59"/>
    <s v="SNP"/>
    <x v="0"/>
    <x v="0"/>
    <n v="0"/>
    <s v="APPR"/>
    <x v="1"/>
    <x v="0"/>
    <x v="1"/>
    <x v="0"/>
    <m/>
    <x v="1"/>
    <x v="2"/>
    <s v="Resolved"/>
    <n v="0.09"/>
    <n v="1147"/>
    <n v="103.23"/>
    <n v="46268.655147939811"/>
    <x v="2"/>
  </r>
  <r>
    <n v="1000003984"/>
    <s v="White Bear Lake ISD #624"/>
    <n v="1000002039"/>
    <x v="59"/>
    <s v="SNP"/>
    <x v="0"/>
    <x v="0"/>
    <n v="0"/>
    <s v="APPR"/>
    <x v="1"/>
    <x v="0"/>
    <x v="3"/>
    <x v="0"/>
    <m/>
    <x v="1"/>
    <x v="1"/>
    <s v="Resolved"/>
    <n v="3.91"/>
    <n v="142"/>
    <n v="555.22"/>
    <n v="46268.655147939811"/>
    <x v="5"/>
  </r>
  <r>
    <n v="1000003984"/>
    <s v="White Bear Lake ISD #624"/>
    <n v="1000002039"/>
    <x v="59"/>
    <s v="SNP"/>
    <x v="0"/>
    <x v="0"/>
    <n v="0"/>
    <s v="APPR"/>
    <x v="1"/>
    <x v="0"/>
    <x v="2"/>
    <x v="0"/>
    <m/>
    <x v="1"/>
    <x v="3"/>
    <s v="Resolved"/>
    <n v="0.45"/>
    <n v="1147"/>
    <n v="516.15"/>
    <n v="46268.655147939811"/>
    <x v="5"/>
  </r>
  <r>
    <n v="1000003984"/>
    <s v="White Bear Lake ISD #624"/>
    <n v="1000002039"/>
    <x v="59"/>
    <s v="SNP"/>
    <x v="0"/>
    <x v="0"/>
    <n v="0"/>
    <s v="APPR"/>
    <x v="0"/>
    <x v="0"/>
    <x v="3"/>
    <x v="1"/>
    <m/>
    <x v="3"/>
    <x v="0"/>
    <s v="Resolved"/>
    <n v="0.3"/>
    <n v="146"/>
    <n v="43.8"/>
    <n v="46268.655147939811"/>
    <x v="3"/>
  </r>
  <r>
    <n v="1000003984"/>
    <s v="White Bear Lake ISD #624"/>
    <n v="1000002039"/>
    <x v="59"/>
    <s v="SNP"/>
    <x v="0"/>
    <x v="0"/>
    <n v="0"/>
    <s v="APPR"/>
    <x v="0"/>
    <x v="0"/>
    <x v="4"/>
    <x v="1"/>
    <m/>
    <x v="3"/>
    <x v="0"/>
    <s v="Resolved"/>
    <n v="2.12"/>
    <n v="556"/>
    <n v="1178.72"/>
    <n v="46268.655147939811"/>
    <x v="8"/>
  </r>
  <r>
    <n v="1000003984"/>
    <s v="White Bear Lake ISD #624"/>
    <n v="1000002039"/>
    <x v="59"/>
    <s v="SNP"/>
    <x v="0"/>
    <x v="0"/>
    <n v="0"/>
    <s v="APPR"/>
    <x v="1"/>
    <x v="0"/>
    <x v="0"/>
    <x v="1"/>
    <m/>
    <x v="2"/>
    <x v="0"/>
    <s v="Resolved"/>
    <n v="0.125"/>
    <n v="278"/>
    <n v="34.75"/>
    <n v="46268.655147939811"/>
    <x v="3"/>
  </r>
  <r>
    <n v="1000003984"/>
    <s v="White Bear Lake ISD #624"/>
    <n v="1000002039"/>
    <x v="59"/>
    <s v="SNP"/>
    <x v="0"/>
    <x v="0"/>
    <n v="0"/>
    <s v="APPR"/>
    <x v="1"/>
    <x v="0"/>
    <x v="3"/>
    <x v="1"/>
    <m/>
    <x v="2"/>
    <x v="0"/>
    <s v="Resolved"/>
    <n v="0.52500000000000002"/>
    <n v="142"/>
    <n v="74.55"/>
    <n v="46268.655147939811"/>
    <x v="3"/>
  </r>
  <r>
    <n v="1000003984"/>
    <s v="White Bear Lake ISD #624"/>
    <n v="1000002039"/>
    <x v="59"/>
    <s v="SNP"/>
    <x v="0"/>
    <x v="0"/>
    <n v="0"/>
    <s v="APPR"/>
    <x v="1"/>
    <x v="0"/>
    <x v="4"/>
    <x v="1"/>
    <m/>
    <x v="2"/>
    <x v="0"/>
    <s v="Resolved"/>
    <n v="4.4349999999999996"/>
    <n v="727"/>
    <n v="3224.24"/>
    <n v="46268.6551479398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ClaimSummary" cacheId="14" applyNumberFormats="0" applyBorderFormats="0" applyFontFormats="0" applyPatternFormats="0" applyAlignmentFormats="0" applyWidthHeightFormats="1" dataCaption="Data" updatedVersion="8" minRefreshableVersion="3" asteriskTotals="1" showMemberPropertyTips="0" enableDrill="0" useAutoFormatting="1" itemPrintTitles="1" createdVersion="4" indent="0" compact="0" compactData="0" gridDropZones="1">
  <location ref="B7:L32" firstHeaderRow="1" firstDataRow="4" firstDataCol="7" rowPageCount="1" colPageCount="1"/>
  <pivotFields count="22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name="Site" axis="axisPage" compact="0" outline="0" subtotalTop="0" showAll="0" includeNewItemsInFilter="1" sortType="ascending" defaultSubtotal="0">
      <items count="60">
        <item x="56"/>
        <item x="18"/>
        <item x="19"/>
        <item x="0"/>
        <item x="1"/>
        <item x="25"/>
        <item x="4"/>
        <item x="2"/>
        <item x="3"/>
        <item x="8"/>
        <item x="34"/>
        <item x="5"/>
        <item x="9"/>
        <item x="21"/>
        <item x="42"/>
        <item x="43"/>
        <item x="6"/>
        <item x="47"/>
        <item x="44"/>
        <item x="11"/>
        <item x="28"/>
        <item x="36"/>
        <item x="12"/>
        <item x="13"/>
        <item x="14"/>
        <item x="16"/>
        <item x="22"/>
        <item x="27"/>
        <item x="10"/>
        <item x="57"/>
        <item x="35"/>
        <item x="31"/>
        <item x="17"/>
        <item x="26"/>
        <item x="20"/>
        <item x="23"/>
        <item x="58"/>
        <item x="29"/>
        <item x="30"/>
        <item x="59"/>
        <item x="48"/>
        <item x="52"/>
        <item x="37"/>
        <item x="33"/>
        <item x="45"/>
        <item x="7"/>
        <item x="38"/>
        <item x="39"/>
        <item x="40"/>
        <item x="46"/>
        <item x="41"/>
        <item x="15"/>
        <item x="24"/>
        <item x="49"/>
        <item x="50"/>
        <item x="51"/>
        <item x="53"/>
        <item x="54"/>
        <item x="32"/>
        <item x="55"/>
      </items>
    </pivotField>
    <pivotField compact="0" outline="0" subtotalTop="0" showAll="0" includeNewItemsInFilter="1"/>
    <pivotField name="Year" axis="axisCol" compact="0" outline="0" subtotalTop="0" showAll="0" includeNewItemsInFilter="1" sortType="ascending" defaultSubtotal="0">
      <items count="1">
        <item x="0"/>
      </items>
    </pivotField>
    <pivotField name="Month" axis="axisCol" compact="0" outline="0" subtotalTop="0" showAll="0" includeNewItemsInFilter="1" sortType="ascending" defaultSubtotal="0">
      <items count="1">
        <item x="0"/>
      </items>
    </pivotField>
    <pivotField compact="0" outline="0" subtotalTop="0" showAll="0" includeNewItemsInFilter="1"/>
    <pivotField compact="0" outline="0" subtotalTop="0" showAll="0" includeNewItemsInFilter="1"/>
    <pivotField name="Meal Type" axis="axisRow" compact="0" outline="0" subtotalTop="0" showAll="0" includeNewItemsInFilter="1" sortType="ascending" defaultSubtotal="0">
      <items count="3">
        <item x="2"/>
        <item x="0"/>
        <item x="1"/>
      </items>
    </pivotField>
    <pivotField name="Meal Sub Type" axis="axisRow" compact="0" outline="0" subtotalTop="0" showAll="0" includeNewItemsInFilter="1" sortType="ascending" defaultSubtotal="0">
      <items count="2">
        <item x="1"/>
        <item x="0"/>
      </items>
    </pivotField>
    <pivotField axis="axisRow" compact="0" outline="0" subtotalTop="0" showAll="0" includeNewItemsInFilter="1" sortType="ascending" defaultSubtotal="0">
      <items count="5">
        <item x="0"/>
        <item x="1"/>
        <item x="3"/>
        <item x="4"/>
        <item x="2"/>
      </items>
    </pivotField>
    <pivotField axis="axisRow" compact="0" outline="0" subtotalTop="0" showAll="0" includeNewItemsInFilter="1" sortType="ascending" defaultSubtotal="0">
      <items count="2">
        <item x="0"/>
        <item x="1"/>
      </items>
    </pivotField>
    <pivotField compact="0" outline="0" subtotalTop="0" showAll="0" includeNewItemsInFilter="1"/>
    <pivotField name="Major" axis="axisRow" compact="0" outline="0" subtotalTop="0" showAll="0" includeNewItemsInFilter="1" sortType="ascending" defaultSubtotal="0">
      <items count="4">
        <item x="0"/>
        <item x="1"/>
        <item x="2"/>
        <item x="3"/>
      </items>
    </pivotField>
    <pivotField name="Minor" axis="axisRow" compact="0" outline="0" subtotalTop="0" showAll="0" includeNewItemsInFilter="1" sortType="ascending" defaultSubtotal="0">
      <items count="5">
        <item x="0"/>
        <item x="3"/>
        <item x="1"/>
        <item x="2"/>
        <item x="4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7">
    <field x="12"/>
    <field x="9"/>
    <field x="10"/>
    <field x="11"/>
    <field x="21"/>
    <field x="14"/>
    <field x="15"/>
  </rowFields>
  <rowItems count="22">
    <i>
      <x/>
      <x/>
      <x v="1"/>
      <x/>
      <x v="4"/>
      <x v="1"/>
      <x v="4"/>
    </i>
    <i r="1">
      <x v="1"/>
      <x v="1"/>
      <x/>
      <x/>
      <x/>
      <x/>
    </i>
    <i r="4">
      <x v="7"/>
      <x/>
      <x/>
    </i>
    <i r="3">
      <x v="2"/>
      <x/>
      <x/>
      <x/>
    </i>
    <i r="4">
      <x v="7"/>
      <x/>
      <x/>
    </i>
    <i r="3">
      <x v="3"/>
      <x/>
      <x/>
      <x/>
    </i>
    <i r="4">
      <x v="7"/>
      <x/>
      <x/>
    </i>
    <i r="1">
      <x v="2"/>
      <x v="1"/>
      <x/>
      <x v="1"/>
      <x v="1"/>
      <x v="2"/>
    </i>
    <i r="4">
      <x v="5"/>
      <x v="1"/>
      <x v="2"/>
    </i>
    <i r="3">
      <x v="1"/>
      <x v="2"/>
      <x v="1"/>
      <x v="3"/>
    </i>
    <i r="3">
      <x v="2"/>
      <x v="1"/>
      <x v="1"/>
      <x v="2"/>
    </i>
    <i r="4">
      <x v="5"/>
      <x v="1"/>
      <x v="2"/>
    </i>
    <i r="3">
      <x v="4"/>
      <x v="1"/>
      <x v="1"/>
      <x v="1"/>
    </i>
    <i r="4">
      <x v="5"/>
      <x v="1"/>
      <x v="1"/>
    </i>
    <i>
      <x v="1"/>
      <x v="1"/>
      <x/>
      <x v="3"/>
      <x v="9"/>
      <x v="3"/>
      <x/>
    </i>
    <i r="2">
      <x v="1"/>
      <x v="2"/>
      <x v="3"/>
      <x v="3"/>
      <x/>
    </i>
    <i r="3">
      <x v="3"/>
      <x v="6"/>
      <x v="3"/>
      <x/>
    </i>
    <i r="4">
      <x v="8"/>
      <x v="3"/>
      <x/>
    </i>
    <i r="1">
      <x v="2"/>
      <x v="1"/>
      <x/>
      <x v="3"/>
      <x v="2"/>
      <x/>
    </i>
    <i r="3">
      <x v="2"/>
      <x v="3"/>
      <x v="2"/>
      <x/>
    </i>
    <i r="3">
      <x v="3"/>
      <x v="3"/>
      <x v="2"/>
      <x/>
    </i>
    <i t="grand">
      <x/>
    </i>
  </rowItems>
  <colFields count="3">
    <field x="5"/>
    <field x="6"/>
    <field x="-2"/>
  </colFields>
  <colItems count="4">
    <i>
      <x/>
      <x/>
      <x/>
    </i>
    <i r="2" i="1">
      <x v="1"/>
    </i>
    <i t="grand">
      <x/>
    </i>
    <i t="grand" i="1">
      <x/>
    </i>
  </colItems>
  <pageFields count="1">
    <pageField fld="3" hier="0"/>
  </pageFields>
  <dataFields count="2">
    <dataField name="Count" fld="18" baseField="0" baseItem="0" numFmtId="3"/>
    <dataField name="Amount" fld="19" baseField="0" baseItem="0" numFmtId="168"/>
  </dataFields>
  <formats count="29">
    <format dxfId="182">
      <pivotArea dataOnly="0" labelOnly="1" outline="0" fieldPosition="0">
        <references count="1">
          <reference field="12" count="0"/>
        </references>
      </pivotArea>
    </format>
    <format dxfId="181">
      <pivotArea dataOnly="0" labelOnly="1" outline="0" fieldPosition="0">
        <references count="2">
          <reference field="9" count="0"/>
          <reference field="12" count="0" selected="0"/>
        </references>
      </pivotArea>
    </format>
    <format dxfId="180">
      <pivotArea dataOnly="0" labelOnly="1" outline="0" fieldPosition="0">
        <references count="3">
          <reference field="9" count="0" selected="0"/>
          <reference field="10" count="0"/>
          <reference field="12" count="0" selected="0"/>
        </references>
      </pivotArea>
    </format>
    <format dxfId="179">
      <pivotArea dataOnly="0" labelOnly="1" outline="0" fieldPosition="0">
        <references count="4">
          <reference field="9" count="0" selected="0"/>
          <reference field="10" count="0" selected="0"/>
          <reference field="11" count="0"/>
          <reference field="12" count="0" selected="0"/>
        </references>
      </pivotArea>
    </format>
    <format dxfId="178">
      <pivotArea dataOnly="0" labelOnly="1" outline="0" fieldPosition="0">
        <references count="5">
          <reference field="9" count="0" selected="0"/>
          <reference field="10" count="0" selected="0"/>
          <reference field="11" count="0" selected="0"/>
          <reference field="12" count="0" selected="0"/>
          <reference field="14" count="0"/>
        </references>
      </pivotArea>
    </format>
    <format dxfId="177">
      <pivotArea dataOnly="0" labelOnly="1" outline="0" fieldPosition="0">
        <references count="6">
          <reference field="9" count="0" selected="0"/>
          <reference field="10" count="0" selected="0"/>
          <reference field="11" count="0" selected="0"/>
          <reference field="12" count="0" selected="0"/>
          <reference field="14" count="0" selected="0"/>
          <reference field="15" count="0"/>
        </references>
      </pivotArea>
    </format>
    <format dxfId="176">
      <pivotArea dataOnly="0" labelOnly="1" outline="0" fieldPosition="0">
        <references count="1">
          <reference field="5" count="0"/>
        </references>
      </pivotArea>
    </format>
    <format dxfId="175">
      <pivotArea outline="0" fieldPosition="0"/>
    </format>
    <format dxfId="174">
      <pivotArea dataOnly="0" labelOnly="1" outline="0" fieldPosition="0">
        <references count="1">
          <reference field="12" count="0"/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2">
          <reference field="9" count="0"/>
          <reference field="12" count="0" selected="0"/>
        </references>
      </pivotArea>
    </format>
    <format dxfId="171">
      <pivotArea dataOnly="0" labelOnly="1" outline="0" fieldPosition="0">
        <references count="3">
          <reference field="9" count="0" selected="0"/>
          <reference field="10" count="0"/>
          <reference field="12" count="0" selected="0"/>
        </references>
      </pivotArea>
    </format>
    <format dxfId="170">
      <pivotArea dataOnly="0" labelOnly="1" outline="0" fieldPosition="0">
        <references count="4">
          <reference field="9" count="0" selected="0"/>
          <reference field="10" count="0" selected="0"/>
          <reference field="11" count="0"/>
          <reference field="12" count="0" selected="0"/>
        </references>
      </pivotArea>
    </format>
    <format dxfId="169">
      <pivotArea dataOnly="0" labelOnly="1" outline="0" fieldPosition="0">
        <references count="5">
          <reference field="9" count="0" selected="0"/>
          <reference field="10" count="0" selected="0"/>
          <reference field="11" count="0" selected="0"/>
          <reference field="12" count="0" selected="0"/>
          <reference field="14" count="0"/>
        </references>
      </pivotArea>
    </format>
    <format dxfId="168">
      <pivotArea dataOnly="0" labelOnly="1" outline="0" fieldPosition="0">
        <references count="6">
          <reference field="9" count="0" selected="0"/>
          <reference field="10" count="0" selected="0"/>
          <reference field="11" count="0" selected="0"/>
          <reference field="12" count="0" selected="0"/>
          <reference field="14" count="0" selected="0"/>
          <reference field="15" count="0"/>
        </references>
      </pivotArea>
    </format>
    <format dxfId="167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166">
      <pivotArea grandRow="1" grandCol="1" outline="0" fieldPosition="0"/>
    </format>
    <format dxfId="165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4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3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2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1">
      <pivotArea dataOnly="0" labelOnly="1" outline="0" fieldPosition="0">
        <references count="3">
          <reference field="4294967294" count="1">
            <x v="0"/>
          </reference>
          <reference field="5" count="0" selected="0"/>
          <reference field="6" count="0" selected="0"/>
        </references>
      </pivotArea>
    </format>
    <format dxfId="160">
      <pivotArea dataOnly="0" labelOnly="1" outline="0" fieldPosition="0">
        <references count="3">
          <reference field="4294967294" count="1">
            <x v="1"/>
          </reference>
          <reference field="5" count="0" selected="0"/>
          <reference field="6" count="0" selected="0"/>
        </references>
      </pivotArea>
    </format>
    <format dxfId="159">
      <pivotArea dataOnly="0" labelOnly="1" outline="0" fieldPosition="0">
        <references count="3">
          <reference field="4294967294" count="0"/>
          <reference field="5" count="0" selected="0"/>
          <reference field="6" count="0" selected="0"/>
        </references>
      </pivotArea>
    </format>
    <format dxfId="158">
      <pivotArea outline="0" fieldPosition="0">
        <references count="1">
          <reference field="4294967294" count="1">
            <x v="0"/>
          </reference>
        </references>
      </pivotArea>
    </format>
    <format dxfId="157">
      <pivotArea outline="0" fieldPosition="0">
        <references count="1">
          <reference field="4294967294" count="1">
            <x v="1"/>
          </reference>
        </references>
      </pivotArea>
    </format>
    <format dxfId="156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155">
      <pivotArea field="6" grandRow="1" outline="0" axis="axisCol" fieldPosition="1">
        <references count="3">
          <reference field="4294967294" count="1" selected="0">
            <x v="0"/>
          </reference>
          <reference field="5" count="0" selected="0"/>
          <reference field="6" count="0" selected="0"/>
        </references>
      </pivotArea>
    </format>
    <format dxfId="154">
      <pivotArea grandRow="1" grandCol="1" outline="0" fieldPosition="0">
        <references count="1">
          <reference field="4294967294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77540-8E23-4088-8881-E9EBA562B86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66" firstHeaderRow="1" firstDataRow="3" firstDataCol="2" rowPageCount="2" colPageCount="1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14"/>
        <item x="47"/>
        <item x="6"/>
        <item x="7"/>
        <item x="5"/>
        <item x="48"/>
        <item x="54"/>
        <item x="53"/>
        <item x="52"/>
        <item x="35"/>
        <item x="10"/>
        <item x="22"/>
        <item x="24"/>
        <item x="23"/>
        <item x="21"/>
        <item x="38"/>
        <item x="56"/>
        <item x="59"/>
        <item x="57"/>
        <item x="28"/>
        <item x="39"/>
        <item x="2"/>
        <item x="43"/>
        <item x="37"/>
        <item x="17"/>
        <item x="36"/>
        <item x="30"/>
        <item x="20"/>
        <item x="26"/>
        <item x="13"/>
        <item x="51"/>
        <item x="33"/>
        <item x="18"/>
        <item x="19"/>
        <item x="32"/>
        <item x="1"/>
        <item x="31"/>
        <item x="12"/>
        <item x="41"/>
        <item x="11"/>
        <item x="27"/>
        <item x="45"/>
        <item x="42"/>
        <item x="4"/>
        <item x="3"/>
        <item x="55"/>
        <item x="16"/>
        <item x="29"/>
        <item x="40"/>
        <item x="44"/>
        <item x="9"/>
        <item x="8"/>
        <item x="50"/>
        <item x="49"/>
        <item x="34"/>
        <item x="46"/>
        <item x="0"/>
        <item x="58"/>
        <item x="15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56"/>
        <item x="18"/>
        <item x="19"/>
        <item x="0"/>
        <item x="1"/>
        <item x="4"/>
        <item x="2"/>
        <item x="3"/>
        <item x="8"/>
        <item x="34"/>
        <item x="5"/>
        <item x="9"/>
        <item x="21"/>
        <item x="42"/>
        <item x="43"/>
        <item x="6"/>
        <item x="47"/>
        <item x="44"/>
        <item x="11"/>
        <item x="28"/>
        <item x="36"/>
        <item x="12"/>
        <item x="13"/>
        <item x="14"/>
        <item x="16"/>
        <item x="22"/>
        <item x="27"/>
        <item x="10"/>
        <item x="57"/>
        <item x="35"/>
        <item x="31"/>
        <item x="17"/>
        <item x="26"/>
        <item x="20"/>
        <item x="23"/>
        <item x="58"/>
        <item x="29"/>
        <item x="30"/>
        <item x="59"/>
        <item x="48"/>
        <item x="52"/>
        <item x="37"/>
        <item x="33"/>
        <item x="45"/>
        <item x="7"/>
        <item x="38"/>
        <item x="39"/>
        <item x="40"/>
        <item x="46"/>
        <item x="41"/>
        <item x="15"/>
        <item x="24"/>
        <item x="49"/>
        <item x="50"/>
        <item x="51"/>
        <item x="53"/>
        <item x="54"/>
        <item x="32"/>
        <item x="55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60">
    <i>
      <x/>
      <x v="23"/>
    </i>
    <i>
      <x v="1"/>
      <x v="16"/>
    </i>
    <i>
      <x v="2"/>
      <x v="15"/>
    </i>
    <i>
      <x v="3"/>
      <x v="44"/>
    </i>
    <i>
      <x v="4"/>
      <x v="10"/>
    </i>
    <i>
      <x v="5"/>
      <x v="39"/>
    </i>
    <i>
      <x v="6"/>
      <x v="56"/>
    </i>
    <i>
      <x v="7"/>
      <x v="55"/>
    </i>
    <i>
      <x v="8"/>
      <x v="40"/>
    </i>
    <i>
      <x v="9"/>
      <x v="29"/>
    </i>
    <i>
      <x v="10"/>
      <x v="27"/>
    </i>
    <i>
      <x v="11"/>
      <x v="25"/>
    </i>
    <i>
      <x v="12"/>
      <x v="51"/>
    </i>
    <i>
      <x v="13"/>
      <x v="34"/>
    </i>
    <i>
      <x v="14"/>
      <x v="12"/>
    </i>
    <i>
      <x v="15"/>
      <x v="45"/>
    </i>
    <i>
      <x v="16"/>
      <x/>
    </i>
    <i>
      <x v="17"/>
      <x v="38"/>
    </i>
    <i>
      <x v="18"/>
      <x v="28"/>
    </i>
    <i>
      <x v="19"/>
      <x v="19"/>
    </i>
    <i>
      <x v="20"/>
      <x v="46"/>
    </i>
    <i>
      <x v="21"/>
      <x v="6"/>
    </i>
    <i>
      <x v="22"/>
      <x v="14"/>
    </i>
    <i>
      <x v="23"/>
      <x v="41"/>
    </i>
    <i>
      <x v="24"/>
      <x v="31"/>
    </i>
    <i>
      <x v="25"/>
      <x v="20"/>
    </i>
    <i>
      <x v="26"/>
      <x v="37"/>
    </i>
    <i>
      <x v="27"/>
      <x v="33"/>
    </i>
    <i>
      <x v="28"/>
      <x v="32"/>
    </i>
    <i>
      <x v="29"/>
      <x v="22"/>
    </i>
    <i>
      <x v="30"/>
      <x v="54"/>
    </i>
    <i>
      <x v="31"/>
      <x v="42"/>
    </i>
    <i>
      <x v="32"/>
      <x v="1"/>
    </i>
    <i>
      <x v="33"/>
      <x v="2"/>
    </i>
    <i>
      <x v="34"/>
      <x v="57"/>
    </i>
    <i>
      <x v="35"/>
      <x v="4"/>
    </i>
    <i>
      <x v="36"/>
      <x v="30"/>
    </i>
    <i>
      <x v="37"/>
      <x v="21"/>
    </i>
    <i>
      <x v="38"/>
      <x v="49"/>
    </i>
    <i>
      <x v="39"/>
      <x v="18"/>
    </i>
    <i>
      <x v="40"/>
      <x v="26"/>
    </i>
    <i>
      <x v="41"/>
      <x v="43"/>
    </i>
    <i>
      <x v="42"/>
      <x v="13"/>
    </i>
    <i>
      <x v="43"/>
      <x v="5"/>
    </i>
    <i>
      <x v="44"/>
      <x v="7"/>
    </i>
    <i>
      <x v="45"/>
      <x v="58"/>
    </i>
    <i>
      <x v="46"/>
      <x v="24"/>
    </i>
    <i>
      <x v="47"/>
      <x v="36"/>
    </i>
    <i>
      <x v="48"/>
      <x v="47"/>
    </i>
    <i>
      <x v="49"/>
      <x v="17"/>
    </i>
    <i>
      <x v="50"/>
      <x v="11"/>
    </i>
    <i>
      <x v="51"/>
      <x v="8"/>
    </i>
    <i>
      <x v="52"/>
      <x v="53"/>
    </i>
    <i>
      <x v="53"/>
      <x v="52"/>
    </i>
    <i>
      <x v="54"/>
      <x v="9"/>
    </i>
    <i>
      <x v="56"/>
      <x v="3"/>
    </i>
    <i>
      <x v="57"/>
      <x v="35"/>
    </i>
    <i>
      <x v="58"/>
      <x v="50"/>
    </i>
    <i>
      <x v="59"/>
      <x v="59"/>
    </i>
    <i t="grand">
      <x/>
    </i>
  </rowItems>
  <colFields count="2">
    <field x="5"/>
    <field x="6"/>
  </colFields>
  <colItems count="2">
    <i>
      <x/>
      <x/>
    </i>
    <i t="grand">
      <x/>
    </i>
  </colItems>
  <pageFields count="2">
    <pageField fld="9" item="1" hier="-1"/>
    <pageField fld="12" item="0" hier="-1"/>
  </pageFields>
  <dataFields count="1">
    <dataField name="Sum of Meal Count" fld="18" baseField="0" baseItem="0" numFmtId="169"/>
  </dataFields>
  <formats count="94">
    <format dxfId="276">
      <pivotArea outline="0" collapsedLevelsAreSubtotals="1" fieldPosition="0"/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type="origin" dataOnly="0" labelOnly="1" outline="0" fieldPosition="0"/>
    </format>
    <format dxfId="272">
      <pivotArea field="5" type="button" dataOnly="0" labelOnly="1" outline="0" axis="axisCol" fieldPosition="0"/>
    </format>
    <format dxfId="271">
      <pivotArea field="6" type="button" dataOnly="0" labelOnly="1" outline="0" axis="axisCol" fieldPosition="1"/>
    </format>
    <format dxfId="270">
      <pivotArea type="topRight" dataOnly="0" labelOnly="1" outline="0" fieldPosition="0"/>
    </format>
    <format dxfId="269">
      <pivotArea field="2" type="button" dataOnly="0" labelOnly="1" outline="0" axis="axisRow" fieldPosition="0"/>
    </format>
    <format dxfId="268">
      <pivotArea field="3" type="button" dataOnly="0" labelOnly="1" outline="0" axis="axisRow" fieldPosition="1"/>
    </format>
    <format dxfId="267">
      <pivotArea dataOnly="0" labelOnly="1" outline="0" fieldPosition="0">
        <references count="1">
          <reference field="2" count="1">
            <x v="0"/>
          </reference>
        </references>
      </pivotArea>
    </format>
    <format dxfId="266">
      <pivotArea dataOnly="0" labelOnly="1" outline="0" fieldPosition="0">
        <references count="1">
          <reference field="2" count="3">
            <x v="1"/>
            <x v="2"/>
            <x v="3"/>
          </reference>
        </references>
      </pivotArea>
    </format>
    <format dxfId="265">
      <pivotArea dataOnly="0" labelOnly="1" outline="0" fieldPosition="0">
        <references count="1">
          <reference field="2" count="1">
            <x v="4"/>
          </reference>
        </references>
      </pivotArea>
    </format>
    <format dxfId="264">
      <pivotArea dataOnly="0" labelOnly="1" outline="0" fieldPosition="0">
        <references count="1">
          <reference field="2" count="4">
            <x v="5"/>
            <x v="6"/>
            <x v="7"/>
            <x v="8"/>
          </reference>
        </references>
      </pivotArea>
    </format>
    <format dxfId="263">
      <pivotArea dataOnly="0" labelOnly="1" outline="0" fieldPosition="0">
        <references count="1">
          <reference field="2" count="2">
            <x v="9"/>
            <x v="10"/>
          </reference>
        </references>
      </pivotArea>
    </format>
    <format dxfId="262">
      <pivotArea dataOnly="0" labelOnly="1" outline="0" fieldPosition="0">
        <references count="1">
          <reference field="2" count="8"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61">
      <pivotArea dataOnly="0" labelOnly="1" outline="0" fieldPosition="0">
        <references count="1">
          <reference field="2" count="1">
            <x v="19"/>
          </reference>
        </references>
      </pivotArea>
    </format>
    <format dxfId="260">
      <pivotArea dataOnly="0" labelOnly="1" outline="0" fieldPosition="0">
        <references count="1">
          <reference field="2" count="1">
            <x v="20"/>
          </reference>
        </references>
      </pivotArea>
    </format>
    <format dxfId="259">
      <pivotArea dataOnly="0" labelOnly="1" outline="0" fieldPosition="0">
        <references count="1">
          <reference field="2" count="1">
            <x v="21"/>
          </reference>
        </references>
      </pivotArea>
    </format>
    <format dxfId="258">
      <pivotArea dataOnly="0" labelOnly="1" outline="0" fieldPosition="0">
        <references count="1">
          <reference field="2" count="1">
            <x v="22"/>
          </reference>
        </references>
      </pivotArea>
    </format>
    <format dxfId="257">
      <pivotArea dataOnly="0" labelOnly="1" outline="0" fieldPosition="0">
        <references count="1">
          <reference field="2" count="2">
            <x v="23"/>
            <x v="24"/>
          </reference>
        </references>
      </pivotArea>
    </format>
    <format dxfId="256">
      <pivotArea dataOnly="0" labelOnly="1" outline="0" fieldPosition="0">
        <references count="1">
          <reference field="2" count="12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255">
      <pivotArea dataOnly="0" labelOnly="1" outline="0" fieldPosition="0">
        <references count="1">
          <reference field="2" count="3">
            <x v="37"/>
            <x v="38"/>
            <x v="39"/>
          </reference>
        </references>
      </pivotArea>
    </format>
    <format dxfId="254">
      <pivotArea dataOnly="0" labelOnly="1" outline="0" fieldPosition="0">
        <references count="1">
          <reference field="2" count="4">
            <x v="40"/>
            <x v="41"/>
            <x v="42"/>
            <x v="43"/>
          </reference>
        </references>
      </pivotArea>
    </format>
    <format dxfId="253">
      <pivotArea dataOnly="0" labelOnly="1" outline="0" fieldPosition="0">
        <references count="1">
          <reference field="2" count="1">
            <x v="44"/>
          </reference>
        </references>
      </pivotArea>
    </format>
    <format dxfId="252">
      <pivotArea dataOnly="0" labelOnly="1" outline="0" fieldPosition="0">
        <references count="1">
          <reference field="2" count="1">
            <x v="45"/>
          </reference>
        </references>
      </pivotArea>
    </format>
    <format dxfId="251">
      <pivotArea dataOnly="0" labelOnly="1" outline="0" fieldPosition="0">
        <references count="1">
          <reference field="2" count="2">
            <x v="46"/>
            <x v="47"/>
          </reference>
        </references>
      </pivotArea>
    </format>
    <format dxfId="250">
      <pivotArea dataOnly="0" labelOnly="1" outline="0" fieldPosition="0">
        <references count="1">
          <reference field="2" count="1">
            <x v="48"/>
          </reference>
        </references>
      </pivotArea>
    </format>
    <format dxfId="249">
      <pivotArea dataOnly="0" labelOnly="1" outline="0" fieldPosition="0">
        <references count="1">
          <reference field="2" count="2">
            <x v="49"/>
            <x v="50"/>
          </reference>
        </references>
      </pivotArea>
    </format>
    <format dxfId="248">
      <pivotArea dataOnly="0" labelOnly="1" outline="0" fieldPosition="0">
        <references count="1">
          <reference field="2" count="4">
            <x v="51"/>
            <x v="52"/>
            <x v="53"/>
            <x v="54"/>
          </reference>
        </references>
      </pivotArea>
    </format>
    <format dxfId="247">
      <pivotArea dataOnly="0" labelOnly="1" outline="0" fieldPosition="0">
        <references count="1">
          <reference field="2" count="2">
            <x v="55"/>
            <x v="56"/>
          </reference>
        </references>
      </pivotArea>
    </format>
    <format dxfId="246">
      <pivotArea dataOnly="0" labelOnly="1" outline="0" fieldPosition="0">
        <references count="1">
          <reference field="2" count="1">
            <x v="57"/>
          </reference>
        </references>
      </pivotArea>
    </format>
    <format dxfId="245">
      <pivotArea dataOnly="0" labelOnly="1" outline="0" fieldPosition="0">
        <references count="1">
          <reference field="2" count="1">
            <x v="58"/>
          </reference>
        </references>
      </pivotArea>
    </format>
    <format dxfId="244">
      <pivotArea dataOnly="0" labelOnly="1" grandRow="1" outline="0" fieldPosition="0"/>
    </format>
    <format dxfId="243">
      <pivotArea dataOnly="0" labelOnly="1" outline="0" fieldPosition="0">
        <references count="2">
          <reference field="2" count="1" selected="0">
            <x v="0"/>
          </reference>
          <reference field="3" count="1">
            <x v="23"/>
          </reference>
        </references>
      </pivotArea>
    </format>
    <format dxfId="242">
      <pivotArea dataOnly="0" labelOnly="1" outline="0" fieldPosition="0">
        <references count="2">
          <reference field="2" count="1" selected="0">
            <x v="1"/>
          </reference>
          <reference field="3" count="1">
            <x v="16"/>
          </reference>
        </references>
      </pivotArea>
    </format>
    <format dxfId="241">
      <pivotArea dataOnly="0" labelOnly="1" outline="0" fieldPosition="0">
        <references count="2">
          <reference field="2" count="1" selected="0">
            <x v="2"/>
          </reference>
          <reference field="3" count="1">
            <x v="15"/>
          </reference>
        </references>
      </pivotArea>
    </format>
    <format dxfId="240">
      <pivotArea dataOnly="0" labelOnly="1" outline="0" fieldPosition="0">
        <references count="2">
          <reference field="2" count="1" selected="0">
            <x v="3"/>
          </reference>
          <reference field="3" count="1">
            <x v="44"/>
          </reference>
        </references>
      </pivotArea>
    </format>
    <format dxfId="239">
      <pivotArea dataOnly="0" labelOnly="1" outline="0" fieldPosition="0">
        <references count="2">
          <reference field="2" count="1" selected="0">
            <x v="4"/>
          </reference>
          <reference field="3" count="1">
            <x v="10"/>
          </reference>
        </references>
      </pivotArea>
    </format>
    <format dxfId="238">
      <pivotArea dataOnly="0" labelOnly="1" outline="0" fieldPosition="0">
        <references count="2">
          <reference field="2" count="1" selected="0">
            <x v="5"/>
          </reference>
          <reference field="3" count="1">
            <x v="39"/>
          </reference>
        </references>
      </pivotArea>
    </format>
    <format dxfId="237">
      <pivotArea dataOnly="0" labelOnly="1" outline="0" fieldPosition="0">
        <references count="2">
          <reference field="2" count="1" selected="0">
            <x v="6"/>
          </reference>
          <reference field="3" count="1">
            <x v="56"/>
          </reference>
        </references>
      </pivotArea>
    </format>
    <format dxfId="236">
      <pivotArea dataOnly="0" labelOnly="1" outline="0" fieldPosition="0">
        <references count="2">
          <reference field="2" count="1" selected="0">
            <x v="7"/>
          </reference>
          <reference field="3" count="1">
            <x v="55"/>
          </reference>
        </references>
      </pivotArea>
    </format>
    <format dxfId="235">
      <pivotArea dataOnly="0" labelOnly="1" outline="0" fieldPosition="0">
        <references count="2">
          <reference field="2" count="1" selected="0">
            <x v="8"/>
          </reference>
          <reference field="3" count="1">
            <x v="40"/>
          </reference>
        </references>
      </pivotArea>
    </format>
    <format dxfId="234">
      <pivotArea dataOnly="0" labelOnly="1" outline="0" fieldPosition="0">
        <references count="2">
          <reference field="2" count="1" selected="0">
            <x v="9"/>
          </reference>
          <reference field="3" count="1">
            <x v="29"/>
          </reference>
        </references>
      </pivotArea>
    </format>
    <format dxfId="233">
      <pivotArea dataOnly="0" labelOnly="1" outline="0" fieldPosition="0">
        <references count="2">
          <reference field="2" count="1" selected="0">
            <x v="10"/>
          </reference>
          <reference field="3" count="1">
            <x v="27"/>
          </reference>
        </references>
      </pivotArea>
    </format>
    <format dxfId="232">
      <pivotArea dataOnly="0" labelOnly="1" outline="0" fieldPosition="0">
        <references count="2">
          <reference field="2" count="1" selected="0">
            <x v="11"/>
          </reference>
          <reference field="3" count="1">
            <x v="25"/>
          </reference>
        </references>
      </pivotArea>
    </format>
    <format dxfId="231">
      <pivotArea dataOnly="0" labelOnly="1" outline="0" fieldPosition="0">
        <references count="2">
          <reference field="2" count="1" selected="0">
            <x v="12"/>
          </reference>
          <reference field="3" count="1">
            <x v="51"/>
          </reference>
        </references>
      </pivotArea>
    </format>
    <format dxfId="230">
      <pivotArea dataOnly="0" labelOnly="1" outline="0" fieldPosition="0">
        <references count="2">
          <reference field="2" count="1" selected="0">
            <x v="13"/>
          </reference>
          <reference field="3" count="1">
            <x v="34"/>
          </reference>
        </references>
      </pivotArea>
    </format>
    <format dxfId="229">
      <pivotArea dataOnly="0" labelOnly="1" outline="0" fieldPosition="0">
        <references count="2">
          <reference field="2" count="1" selected="0">
            <x v="14"/>
          </reference>
          <reference field="3" count="1">
            <x v="12"/>
          </reference>
        </references>
      </pivotArea>
    </format>
    <format dxfId="228">
      <pivotArea dataOnly="0" labelOnly="1" outline="0" fieldPosition="0">
        <references count="2">
          <reference field="2" count="1" selected="0">
            <x v="15"/>
          </reference>
          <reference field="3" count="1">
            <x v="45"/>
          </reference>
        </references>
      </pivotArea>
    </format>
    <format dxfId="227">
      <pivotArea dataOnly="0" labelOnly="1" outline="0" fieldPosition="0">
        <references count="2">
          <reference field="2" count="1" selected="0">
            <x v="16"/>
          </reference>
          <reference field="3" count="1">
            <x v="0"/>
          </reference>
        </references>
      </pivotArea>
    </format>
    <format dxfId="226">
      <pivotArea dataOnly="0" labelOnly="1" outline="0" fieldPosition="0">
        <references count="2">
          <reference field="2" count="1" selected="0">
            <x v="17"/>
          </reference>
          <reference field="3" count="1">
            <x v="38"/>
          </reference>
        </references>
      </pivotArea>
    </format>
    <format dxfId="225">
      <pivotArea dataOnly="0" labelOnly="1" outline="0" fieldPosition="0">
        <references count="2">
          <reference field="2" count="1" selected="0">
            <x v="18"/>
          </reference>
          <reference field="3" count="1">
            <x v="28"/>
          </reference>
        </references>
      </pivotArea>
    </format>
    <format dxfId="224">
      <pivotArea dataOnly="0" labelOnly="1" outline="0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223">
      <pivotArea dataOnly="0" labelOnly="1" outline="0" fieldPosition="0">
        <references count="2">
          <reference field="2" count="1" selected="0">
            <x v="20"/>
          </reference>
          <reference field="3" count="1">
            <x v="46"/>
          </reference>
        </references>
      </pivotArea>
    </format>
    <format dxfId="222">
      <pivotArea dataOnly="0" labelOnly="1" outline="0" fieldPosition="0">
        <references count="2">
          <reference field="2" count="1" selected="0">
            <x v="21"/>
          </reference>
          <reference field="3" count="1">
            <x v="6"/>
          </reference>
        </references>
      </pivotArea>
    </format>
    <format dxfId="221">
      <pivotArea dataOnly="0" labelOnly="1" outline="0" fieldPosition="0">
        <references count="2">
          <reference field="2" count="1" selected="0">
            <x v="22"/>
          </reference>
          <reference field="3" count="1">
            <x v="14"/>
          </reference>
        </references>
      </pivotArea>
    </format>
    <format dxfId="220">
      <pivotArea dataOnly="0" labelOnly="1" outline="0" fieldPosition="0">
        <references count="2">
          <reference field="2" count="1" selected="0">
            <x v="23"/>
          </reference>
          <reference field="3" count="1">
            <x v="41"/>
          </reference>
        </references>
      </pivotArea>
    </format>
    <format dxfId="219">
      <pivotArea dataOnly="0" labelOnly="1" outline="0" fieldPosition="0">
        <references count="2">
          <reference field="2" count="1" selected="0">
            <x v="24"/>
          </reference>
          <reference field="3" count="1">
            <x v="31"/>
          </reference>
        </references>
      </pivotArea>
    </format>
    <format dxfId="218">
      <pivotArea dataOnly="0" labelOnly="1" outline="0" fieldPosition="0">
        <references count="2">
          <reference field="2" count="1" selected="0">
            <x v="25"/>
          </reference>
          <reference field="3" count="1">
            <x v="20"/>
          </reference>
        </references>
      </pivotArea>
    </format>
    <format dxfId="217">
      <pivotArea dataOnly="0" labelOnly="1" outline="0" fieldPosition="0">
        <references count="2">
          <reference field="2" count="1" selected="0">
            <x v="26"/>
          </reference>
          <reference field="3" count="1">
            <x v="37"/>
          </reference>
        </references>
      </pivotArea>
    </format>
    <format dxfId="216">
      <pivotArea dataOnly="0" labelOnly="1" outline="0" fieldPosition="0">
        <references count="2">
          <reference field="2" count="1" selected="0">
            <x v="27"/>
          </reference>
          <reference field="3" count="1">
            <x v="33"/>
          </reference>
        </references>
      </pivotArea>
    </format>
    <format dxfId="215">
      <pivotArea dataOnly="0" labelOnly="1" outline="0" fieldPosition="0">
        <references count="2">
          <reference field="2" count="1" selected="0">
            <x v="28"/>
          </reference>
          <reference field="3" count="1">
            <x v="32"/>
          </reference>
        </references>
      </pivotArea>
    </format>
    <format dxfId="214">
      <pivotArea dataOnly="0" labelOnly="1" outline="0" fieldPosition="0">
        <references count="2">
          <reference field="2" count="1" selected="0">
            <x v="29"/>
          </reference>
          <reference field="3" count="1">
            <x v="22"/>
          </reference>
        </references>
      </pivotArea>
    </format>
    <format dxfId="213">
      <pivotArea dataOnly="0" labelOnly="1" outline="0" fieldPosition="0">
        <references count="2">
          <reference field="2" count="1" selected="0">
            <x v="30"/>
          </reference>
          <reference field="3" count="1">
            <x v="54"/>
          </reference>
        </references>
      </pivotArea>
    </format>
    <format dxfId="212">
      <pivotArea dataOnly="0" labelOnly="1" outline="0" fieldPosition="0">
        <references count="2">
          <reference field="2" count="1" selected="0">
            <x v="31"/>
          </reference>
          <reference field="3" count="1">
            <x v="42"/>
          </reference>
        </references>
      </pivotArea>
    </format>
    <format dxfId="211">
      <pivotArea dataOnly="0" labelOnly="1" outline="0" fieldPosition="0">
        <references count="2">
          <reference field="2" count="1" selected="0">
            <x v="32"/>
          </reference>
          <reference field="3" count="1">
            <x v="1"/>
          </reference>
        </references>
      </pivotArea>
    </format>
    <format dxfId="210">
      <pivotArea dataOnly="0" labelOnly="1" outline="0" fieldPosition="0">
        <references count="2">
          <reference field="2" count="1" selected="0">
            <x v="33"/>
          </reference>
          <reference field="3" count="1">
            <x v="2"/>
          </reference>
        </references>
      </pivotArea>
    </format>
    <format dxfId="209">
      <pivotArea dataOnly="0" labelOnly="1" outline="0" fieldPosition="0">
        <references count="2">
          <reference field="2" count="1" selected="0">
            <x v="34"/>
          </reference>
          <reference field="3" count="1">
            <x v="57"/>
          </reference>
        </references>
      </pivotArea>
    </format>
    <format dxfId="208">
      <pivotArea dataOnly="0" labelOnly="1" outline="0" fieldPosition="0">
        <references count="2">
          <reference field="2" count="1" selected="0">
            <x v="35"/>
          </reference>
          <reference field="3" count="1">
            <x v="4"/>
          </reference>
        </references>
      </pivotArea>
    </format>
    <format dxfId="207">
      <pivotArea dataOnly="0" labelOnly="1" outline="0" fieldPosition="0">
        <references count="2">
          <reference field="2" count="1" selected="0">
            <x v="36"/>
          </reference>
          <reference field="3" count="1">
            <x v="30"/>
          </reference>
        </references>
      </pivotArea>
    </format>
    <format dxfId="206">
      <pivotArea dataOnly="0" labelOnly="1" outline="0" fieldPosition="0">
        <references count="2">
          <reference field="2" count="1" selected="0">
            <x v="37"/>
          </reference>
          <reference field="3" count="1">
            <x v="21"/>
          </reference>
        </references>
      </pivotArea>
    </format>
    <format dxfId="205">
      <pivotArea dataOnly="0" labelOnly="1" outline="0" fieldPosition="0">
        <references count="2">
          <reference field="2" count="1" selected="0">
            <x v="38"/>
          </reference>
          <reference field="3" count="1">
            <x v="49"/>
          </reference>
        </references>
      </pivotArea>
    </format>
    <format dxfId="204">
      <pivotArea dataOnly="0" labelOnly="1" outline="0" fieldPosition="0">
        <references count="2">
          <reference field="2" count="1" selected="0">
            <x v="39"/>
          </reference>
          <reference field="3" count="1">
            <x v="18"/>
          </reference>
        </references>
      </pivotArea>
    </format>
    <format dxfId="203">
      <pivotArea dataOnly="0" labelOnly="1" outline="0" fieldPosition="0">
        <references count="2">
          <reference field="2" count="1" selected="0">
            <x v="40"/>
          </reference>
          <reference field="3" count="1">
            <x v="26"/>
          </reference>
        </references>
      </pivotArea>
    </format>
    <format dxfId="202">
      <pivotArea dataOnly="0" labelOnly="1" outline="0" fieldPosition="0">
        <references count="2">
          <reference field="2" count="1" selected="0">
            <x v="41"/>
          </reference>
          <reference field="3" count="1">
            <x v="43"/>
          </reference>
        </references>
      </pivotArea>
    </format>
    <format dxfId="201">
      <pivotArea dataOnly="0" labelOnly="1" outline="0" fieldPosition="0">
        <references count="2">
          <reference field="2" count="1" selected="0">
            <x v="42"/>
          </reference>
          <reference field="3" count="1">
            <x v="13"/>
          </reference>
        </references>
      </pivotArea>
    </format>
    <format dxfId="200">
      <pivotArea dataOnly="0" labelOnly="1" outline="0" fieldPosition="0">
        <references count="2">
          <reference field="2" count="1" selected="0">
            <x v="43"/>
          </reference>
          <reference field="3" count="1">
            <x v="5"/>
          </reference>
        </references>
      </pivotArea>
    </format>
    <format dxfId="199">
      <pivotArea dataOnly="0" labelOnly="1" outline="0" fieldPosition="0">
        <references count="2">
          <reference field="2" count="1" selected="0">
            <x v="44"/>
          </reference>
          <reference field="3" count="1">
            <x v="7"/>
          </reference>
        </references>
      </pivotArea>
    </format>
    <format dxfId="198">
      <pivotArea dataOnly="0" labelOnly="1" outline="0" fieldPosition="0">
        <references count="2">
          <reference field="2" count="1" selected="0">
            <x v="45"/>
          </reference>
          <reference field="3" count="1">
            <x v="58"/>
          </reference>
        </references>
      </pivotArea>
    </format>
    <format dxfId="197">
      <pivotArea dataOnly="0" labelOnly="1" outline="0" fieldPosition="0">
        <references count="2">
          <reference field="2" count="1" selected="0">
            <x v="46"/>
          </reference>
          <reference field="3" count="1">
            <x v="24"/>
          </reference>
        </references>
      </pivotArea>
    </format>
    <format dxfId="196">
      <pivotArea dataOnly="0" labelOnly="1" outline="0" fieldPosition="0">
        <references count="2">
          <reference field="2" count="1" selected="0">
            <x v="47"/>
          </reference>
          <reference field="3" count="1">
            <x v="36"/>
          </reference>
        </references>
      </pivotArea>
    </format>
    <format dxfId="195">
      <pivotArea dataOnly="0" labelOnly="1" outline="0" fieldPosition="0">
        <references count="2">
          <reference field="2" count="1" selected="0">
            <x v="48"/>
          </reference>
          <reference field="3" count="1">
            <x v="47"/>
          </reference>
        </references>
      </pivotArea>
    </format>
    <format dxfId="194">
      <pivotArea dataOnly="0" labelOnly="1" outline="0" fieldPosition="0">
        <references count="2">
          <reference field="2" count="1" selected="0">
            <x v="49"/>
          </reference>
          <reference field="3" count="1">
            <x v="17"/>
          </reference>
        </references>
      </pivotArea>
    </format>
    <format dxfId="193">
      <pivotArea dataOnly="0" labelOnly="1" outline="0" fieldPosition="0">
        <references count="2">
          <reference field="2" count="1" selected="0">
            <x v="50"/>
          </reference>
          <reference field="3" count="1">
            <x v="11"/>
          </reference>
        </references>
      </pivotArea>
    </format>
    <format dxfId="192">
      <pivotArea dataOnly="0" labelOnly="1" outline="0" fieldPosition="0">
        <references count="2">
          <reference field="2" count="1" selected="0">
            <x v="51"/>
          </reference>
          <reference field="3" count="1">
            <x v="8"/>
          </reference>
        </references>
      </pivotArea>
    </format>
    <format dxfId="191">
      <pivotArea dataOnly="0" labelOnly="1" outline="0" fieldPosition="0">
        <references count="2">
          <reference field="2" count="1" selected="0">
            <x v="52"/>
          </reference>
          <reference field="3" count="1">
            <x v="53"/>
          </reference>
        </references>
      </pivotArea>
    </format>
    <format dxfId="190">
      <pivotArea dataOnly="0" labelOnly="1" outline="0" fieldPosition="0">
        <references count="2">
          <reference field="2" count="1" selected="0">
            <x v="53"/>
          </reference>
          <reference field="3" count="1">
            <x v="52"/>
          </reference>
        </references>
      </pivotArea>
    </format>
    <format dxfId="189">
      <pivotArea dataOnly="0" labelOnly="1" outline="0" fieldPosition="0">
        <references count="2">
          <reference field="2" count="1" selected="0">
            <x v="54"/>
          </reference>
          <reference field="3" count="1">
            <x v="9"/>
          </reference>
        </references>
      </pivotArea>
    </format>
    <format dxfId="188">
      <pivotArea dataOnly="0" labelOnly="1" outline="0" fieldPosition="0">
        <references count="2">
          <reference field="2" count="1" selected="0">
            <x v="55"/>
          </reference>
          <reference field="3" count="1">
            <x v="48"/>
          </reference>
        </references>
      </pivotArea>
    </format>
    <format dxfId="187">
      <pivotArea dataOnly="0" labelOnly="1" outline="0" fieldPosition="0">
        <references count="2">
          <reference field="2" count="1" selected="0">
            <x v="56"/>
          </reference>
          <reference field="3" count="1">
            <x v="3"/>
          </reference>
        </references>
      </pivotArea>
    </format>
    <format dxfId="186">
      <pivotArea dataOnly="0" labelOnly="1" outline="0" fieldPosition="0">
        <references count="2">
          <reference field="2" count="1" selected="0">
            <x v="57"/>
          </reference>
          <reference field="3" count="1">
            <x v="35"/>
          </reference>
        </references>
      </pivotArea>
    </format>
    <format dxfId="185">
      <pivotArea dataOnly="0" labelOnly="1" outline="0" fieldPosition="0">
        <references count="2">
          <reference field="2" count="1" selected="0">
            <x v="58"/>
          </reference>
          <reference field="3" count="1">
            <x v="50"/>
          </reference>
        </references>
      </pivotArea>
    </format>
    <format dxfId="184">
      <pivotArea dataOnly="0" labelOnly="1" outline="0" fieldPosition="0">
        <references count="1">
          <reference field="5" count="0"/>
        </references>
      </pivotArea>
    </format>
    <format dxfId="18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EEC8F-65C0-4947-9288-772A6F4D962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66" firstHeaderRow="1" firstDataRow="3" firstDataCol="2" rowPageCount="2" colPageCount="1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14"/>
        <item x="47"/>
        <item x="6"/>
        <item x="7"/>
        <item x="5"/>
        <item x="48"/>
        <item x="54"/>
        <item x="53"/>
        <item x="52"/>
        <item x="35"/>
        <item x="10"/>
        <item x="22"/>
        <item x="24"/>
        <item x="23"/>
        <item x="21"/>
        <item x="38"/>
        <item x="56"/>
        <item x="59"/>
        <item x="57"/>
        <item x="28"/>
        <item x="39"/>
        <item x="2"/>
        <item x="43"/>
        <item x="37"/>
        <item x="17"/>
        <item x="36"/>
        <item x="30"/>
        <item x="20"/>
        <item x="26"/>
        <item x="13"/>
        <item x="51"/>
        <item x="33"/>
        <item x="18"/>
        <item x="19"/>
        <item x="32"/>
        <item x="1"/>
        <item x="31"/>
        <item x="12"/>
        <item x="41"/>
        <item x="11"/>
        <item x="27"/>
        <item x="45"/>
        <item x="42"/>
        <item x="4"/>
        <item x="3"/>
        <item x="55"/>
        <item x="16"/>
        <item x="29"/>
        <item x="40"/>
        <item x="44"/>
        <item x="9"/>
        <item x="8"/>
        <item x="50"/>
        <item x="49"/>
        <item x="34"/>
        <item x="46"/>
        <item x="0"/>
        <item x="58"/>
        <item x="15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56"/>
        <item x="18"/>
        <item x="19"/>
        <item x="0"/>
        <item x="1"/>
        <item x="4"/>
        <item x="2"/>
        <item x="3"/>
        <item x="8"/>
        <item x="34"/>
        <item x="5"/>
        <item x="9"/>
        <item x="21"/>
        <item x="42"/>
        <item x="43"/>
        <item x="6"/>
        <item x="47"/>
        <item x="44"/>
        <item x="11"/>
        <item x="28"/>
        <item x="36"/>
        <item x="12"/>
        <item x="13"/>
        <item x="14"/>
        <item x="16"/>
        <item x="22"/>
        <item x="27"/>
        <item x="10"/>
        <item x="57"/>
        <item x="35"/>
        <item x="31"/>
        <item x="17"/>
        <item x="26"/>
        <item x="20"/>
        <item x="23"/>
        <item x="58"/>
        <item x="29"/>
        <item x="30"/>
        <item x="59"/>
        <item x="48"/>
        <item x="52"/>
        <item x="37"/>
        <item x="33"/>
        <item x="45"/>
        <item x="7"/>
        <item x="38"/>
        <item x="39"/>
        <item x="40"/>
        <item x="46"/>
        <item x="41"/>
        <item x="15"/>
        <item x="24"/>
        <item x="49"/>
        <item x="50"/>
        <item x="51"/>
        <item x="53"/>
        <item x="54"/>
        <item x="32"/>
        <item x="55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60">
    <i>
      <x/>
      <x v="23"/>
    </i>
    <i>
      <x v="1"/>
      <x v="16"/>
    </i>
    <i>
      <x v="2"/>
      <x v="15"/>
    </i>
    <i>
      <x v="3"/>
      <x v="44"/>
    </i>
    <i>
      <x v="4"/>
      <x v="10"/>
    </i>
    <i>
      <x v="5"/>
      <x v="39"/>
    </i>
    <i>
      <x v="6"/>
      <x v="56"/>
    </i>
    <i>
      <x v="7"/>
      <x v="55"/>
    </i>
    <i>
      <x v="8"/>
      <x v="40"/>
    </i>
    <i>
      <x v="9"/>
      <x v="29"/>
    </i>
    <i>
      <x v="10"/>
      <x v="27"/>
    </i>
    <i>
      <x v="11"/>
      <x v="25"/>
    </i>
    <i>
      <x v="12"/>
      <x v="51"/>
    </i>
    <i>
      <x v="13"/>
      <x v="34"/>
    </i>
    <i>
      <x v="14"/>
      <x v="12"/>
    </i>
    <i>
      <x v="15"/>
      <x v="45"/>
    </i>
    <i>
      <x v="16"/>
      <x/>
    </i>
    <i>
      <x v="17"/>
      <x v="38"/>
    </i>
    <i>
      <x v="18"/>
      <x v="28"/>
    </i>
    <i>
      <x v="19"/>
      <x v="19"/>
    </i>
    <i>
      <x v="20"/>
      <x v="46"/>
    </i>
    <i>
      <x v="21"/>
      <x v="6"/>
    </i>
    <i>
      <x v="22"/>
      <x v="14"/>
    </i>
    <i>
      <x v="23"/>
      <x v="41"/>
    </i>
    <i>
      <x v="24"/>
      <x v="31"/>
    </i>
    <i>
      <x v="25"/>
      <x v="20"/>
    </i>
    <i>
      <x v="26"/>
      <x v="37"/>
    </i>
    <i>
      <x v="27"/>
      <x v="33"/>
    </i>
    <i>
      <x v="28"/>
      <x v="32"/>
    </i>
    <i>
      <x v="29"/>
      <x v="22"/>
    </i>
    <i>
      <x v="30"/>
      <x v="54"/>
    </i>
    <i>
      <x v="31"/>
      <x v="42"/>
    </i>
    <i>
      <x v="32"/>
      <x v="1"/>
    </i>
    <i>
      <x v="33"/>
      <x v="2"/>
    </i>
    <i>
      <x v="34"/>
      <x v="57"/>
    </i>
    <i>
      <x v="35"/>
      <x v="4"/>
    </i>
    <i>
      <x v="36"/>
      <x v="30"/>
    </i>
    <i>
      <x v="37"/>
      <x v="21"/>
    </i>
    <i>
      <x v="38"/>
      <x v="49"/>
    </i>
    <i>
      <x v="39"/>
      <x v="18"/>
    </i>
    <i>
      <x v="40"/>
      <x v="26"/>
    </i>
    <i>
      <x v="41"/>
      <x v="43"/>
    </i>
    <i>
      <x v="42"/>
      <x v="13"/>
    </i>
    <i>
      <x v="43"/>
      <x v="5"/>
    </i>
    <i>
      <x v="44"/>
      <x v="7"/>
    </i>
    <i>
      <x v="45"/>
      <x v="58"/>
    </i>
    <i>
      <x v="46"/>
      <x v="24"/>
    </i>
    <i>
      <x v="47"/>
      <x v="36"/>
    </i>
    <i>
      <x v="48"/>
      <x v="47"/>
    </i>
    <i>
      <x v="50"/>
      <x v="11"/>
    </i>
    <i>
      <x v="51"/>
      <x v="8"/>
    </i>
    <i>
      <x v="52"/>
      <x v="53"/>
    </i>
    <i>
      <x v="53"/>
      <x v="52"/>
    </i>
    <i>
      <x v="54"/>
      <x v="9"/>
    </i>
    <i>
      <x v="55"/>
      <x v="48"/>
    </i>
    <i>
      <x v="56"/>
      <x v="3"/>
    </i>
    <i>
      <x v="57"/>
      <x v="35"/>
    </i>
    <i>
      <x v="58"/>
      <x v="50"/>
    </i>
    <i>
      <x v="59"/>
      <x v="59"/>
    </i>
    <i t="grand">
      <x/>
    </i>
  </rowItems>
  <colFields count="2">
    <field x="5"/>
    <field x="6"/>
  </colFields>
  <colItems count="2">
    <i>
      <x/>
      <x/>
    </i>
    <i t="grand">
      <x/>
    </i>
  </colItems>
  <pageFields count="2">
    <pageField fld="9" item="2" hier="-1"/>
    <pageField fld="12" item="1" hier="-1"/>
  </pageFields>
  <dataFields count="1">
    <dataField name="Sum of Meal Count" fld="18" baseField="0" baseItem="0" numFmtId="169"/>
  </dataFields>
  <formats count="93">
    <format dxfId="153">
      <pivotArea outline="0" collapsedLevelsAreSubtotals="1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type="origin" dataOnly="0" labelOnly="1" outline="0" fieldPosition="0"/>
    </format>
    <format dxfId="149">
      <pivotArea field="5" type="button" dataOnly="0" labelOnly="1" outline="0" axis="axisCol" fieldPosition="0"/>
    </format>
    <format dxfId="148">
      <pivotArea field="6" type="button" dataOnly="0" labelOnly="1" outline="0" axis="axisCol" fieldPosition="1"/>
    </format>
    <format dxfId="147">
      <pivotArea type="topRight" dataOnly="0" labelOnly="1" outline="0" fieldPosition="0"/>
    </format>
    <format dxfId="146">
      <pivotArea field="2" type="button" dataOnly="0" labelOnly="1" outline="0" axis="axisRow" fieldPosition="0"/>
    </format>
    <format dxfId="145">
      <pivotArea field="3" type="button" dataOnly="0" labelOnly="1" outline="0" axis="axisRow" fieldPosition="1"/>
    </format>
    <format dxfId="144">
      <pivotArea dataOnly="0" labelOnly="1" outline="0" fieldPosition="0">
        <references count="1">
          <reference field="2" count="1">
            <x v="0"/>
          </reference>
        </references>
      </pivotArea>
    </format>
    <format dxfId="143">
      <pivotArea dataOnly="0" labelOnly="1" outline="0" fieldPosition="0">
        <references count="1">
          <reference field="2" count="3">
            <x v="1"/>
            <x v="2"/>
            <x v="3"/>
          </reference>
        </references>
      </pivotArea>
    </format>
    <format dxfId="142">
      <pivotArea dataOnly="0" labelOnly="1" outline="0" fieldPosition="0">
        <references count="1">
          <reference field="2" count="1">
            <x v="4"/>
          </reference>
        </references>
      </pivotArea>
    </format>
    <format dxfId="141">
      <pivotArea dataOnly="0" labelOnly="1" outline="0" fieldPosition="0">
        <references count="1">
          <reference field="2" count="4">
            <x v="5"/>
            <x v="6"/>
            <x v="7"/>
            <x v="8"/>
          </reference>
        </references>
      </pivotArea>
    </format>
    <format dxfId="140">
      <pivotArea dataOnly="0" labelOnly="1" outline="0" fieldPosition="0">
        <references count="1">
          <reference field="2" count="2">
            <x v="9"/>
            <x v="10"/>
          </reference>
        </references>
      </pivotArea>
    </format>
    <format dxfId="139">
      <pivotArea dataOnly="0" labelOnly="1" outline="0" fieldPosition="0">
        <references count="1">
          <reference field="2" count="8"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38">
      <pivotArea dataOnly="0" labelOnly="1" outline="0" fieldPosition="0">
        <references count="1">
          <reference field="2" count="1">
            <x v="19"/>
          </reference>
        </references>
      </pivotArea>
    </format>
    <format dxfId="137">
      <pivotArea dataOnly="0" labelOnly="1" outline="0" fieldPosition="0">
        <references count="1">
          <reference field="2" count="1">
            <x v="20"/>
          </reference>
        </references>
      </pivotArea>
    </format>
    <format dxfId="136">
      <pivotArea dataOnly="0" labelOnly="1" outline="0" fieldPosition="0">
        <references count="1">
          <reference field="2" count="1">
            <x v="21"/>
          </reference>
        </references>
      </pivotArea>
    </format>
    <format dxfId="135">
      <pivotArea dataOnly="0" labelOnly="1" outline="0" fieldPosition="0">
        <references count="1">
          <reference field="2" count="1">
            <x v="22"/>
          </reference>
        </references>
      </pivotArea>
    </format>
    <format dxfId="134">
      <pivotArea dataOnly="0" labelOnly="1" outline="0" fieldPosition="0">
        <references count="1">
          <reference field="2" count="2">
            <x v="23"/>
            <x v="24"/>
          </reference>
        </references>
      </pivotArea>
    </format>
    <format dxfId="133">
      <pivotArea dataOnly="0" labelOnly="1" outline="0" fieldPosition="0">
        <references count="1">
          <reference field="2" count="13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132">
      <pivotArea dataOnly="0" labelOnly="1" outline="0" fieldPosition="0">
        <references count="1">
          <reference field="2" count="2">
            <x v="38"/>
            <x v="39"/>
          </reference>
        </references>
      </pivotArea>
    </format>
    <format dxfId="131">
      <pivotArea dataOnly="0" labelOnly="1" outline="0" fieldPosition="0">
        <references count="1">
          <reference field="2" count="4">
            <x v="40"/>
            <x v="41"/>
            <x v="42"/>
            <x v="43"/>
          </reference>
        </references>
      </pivotArea>
    </format>
    <format dxfId="130">
      <pivotArea dataOnly="0" labelOnly="1" outline="0" fieldPosition="0">
        <references count="1">
          <reference field="2" count="1">
            <x v="44"/>
          </reference>
        </references>
      </pivotArea>
    </format>
    <format dxfId="129">
      <pivotArea dataOnly="0" labelOnly="1" outline="0" fieldPosition="0">
        <references count="1">
          <reference field="2" count="2">
            <x v="45"/>
            <x v="46"/>
          </reference>
        </references>
      </pivotArea>
    </format>
    <format dxfId="128">
      <pivotArea dataOnly="0" labelOnly="1" outline="0" fieldPosition="0">
        <references count="1">
          <reference field="2" count="1">
            <x v="47"/>
          </reference>
        </references>
      </pivotArea>
    </format>
    <format dxfId="127">
      <pivotArea dataOnly="0" labelOnly="1" outline="0" fieldPosition="0">
        <references count="1">
          <reference field="2" count="1">
            <x v="48"/>
          </reference>
        </references>
      </pivotArea>
    </format>
    <format dxfId="126">
      <pivotArea dataOnly="0" labelOnly="1" outline="0" fieldPosition="0">
        <references count="1">
          <reference field="2" count="2">
            <x v="49"/>
            <x v="50"/>
          </reference>
        </references>
      </pivotArea>
    </format>
    <format dxfId="125">
      <pivotArea dataOnly="0" labelOnly="1" outline="0" fieldPosition="0">
        <references count="1">
          <reference field="2" count="4">
            <x v="51"/>
            <x v="52"/>
            <x v="53"/>
            <x v="54"/>
          </reference>
        </references>
      </pivotArea>
    </format>
    <format dxfId="124">
      <pivotArea dataOnly="0" labelOnly="1" outline="0" fieldPosition="0">
        <references count="1">
          <reference field="2" count="2">
            <x v="55"/>
            <x v="56"/>
          </reference>
        </references>
      </pivotArea>
    </format>
    <format dxfId="123">
      <pivotArea dataOnly="0" labelOnly="1" outline="0" fieldPosition="0">
        <references count="1">
          <reference field="2" count="2">
            <x v="57"/>
            <x v="58"/>
          </reference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2">
          <reference field="2" count="1" selected="0">
            <x v="0"/>
          </reference>
          <reference field="3" count="1">
            <x v="23"/>
          </reference>
        </references>
      </pivotArea>
    </format>
    <format dxfId="120">
      <pivotArea dataOnly="0" labelOnly="1" outline="0" fieldPosition="0">
        <references count="2">
          <reference field="2" count="1" selected="0">
            <x v="1"/>
          </reference>
          <reference field="3" count="1">
            <x v="16"/>
          </reference>
        </references>
      </pivotArea>
    </format>
    <format dxfId="119">
      <pivotArea dataOnly="0" labelOnly="1" outline="0" fieldPosition="0">
        <references count="2">
          <reference field="2" count="1" selected="0">
            <x v="2"/>
          </reference>
          <reference field="3" count="1">
            <x v="15"/>
          </reference>
        </references>
      </pivotArea>
    </format>
    <format dxfId="118">
      <pivotArea dataOnly="0" labelOnly="1" outline="0" fieldPosition="0">
        <references count="2">
          <reference field="2" count="1" selected="0">
            <x v="3"/>
          </reference>
          <reference field="3" count="1">
            <x v="44"/>
          </reference>
        </references>
      </pivotArea>
    </format>
    <format dxfId="117">
      <pivotArea dataOnly="0" labelOnly="1" outline="0" fieldPosition="0">
        <references count="2">
          <reference field="2" count="1" selected="0">
            <x v="4"/>
          </reference>
          <reference field="3" count="1">
            <x v="10"/>
          </reference>
        </references>
      </pivotArea>
    </format>
    <format dxfId="116">
      <pivotArea dataOnly="0" labelOnly="1" outline="0" fieldPosition="0">
        <references count="2">
          <reference field="2" count="1" selected="0">
            <x v="5"/>
          </reference>
          <reference field="3" count="1">
            <x v="39"/>
          </reference>
        </references>
      </pivotArea>
    </format>
    <format dxfId="115">
      <pivotArea dataOnly="0" labelOnly="1" outline="0" fieldPosition="0">
        <references count="2">
          <reference field="2" count="1" selected="0">
            <x v="6"/>
          </reference>
          <reference field="3" count="1">
            <x v="56"/>
          </reference>
        </references>
      </pivotArea>
    </format>
    <format dxfId="114">
      <pivotArea dataOnly="0" labelOnly="1" outline="0" fieldPosition="0">
        <references count="2">
          <reference field="2" count="1" selected="0">
            <x v="7"/>
          </reference>
          <reference field="3" count="1">
            <x v="55"/>
          </reference>
        </references>
      </pivotArea>
    </format>
    <format dxfId="113">
      <pivotArea dataOnly="0" labelOnly="1" outline="0" fieldPosition="0">
        <references count="2">
          <reference field="2" count="1" selected="0">
            <x v="8"/>
          </reference>
          <reference field="3" count="1">
            <x v="40"/>
          </reference>
        </references>
      </pivotArea>
    </format>
    <format dxfId="112">
      <pivotArea dataOnly="0" labelOnly="1" outline="0" fieldPosition="0">
        <references count="2">
          <reference field="2" count="1" selected="0">
            <x v="9"/>
          </reference>
          <reference field="3" count="1">
            <x v="29"/>
          </reference>
        </references>
      </pivotArea>
    </format>
    <format dxfId="111">
      <pivotArea dataOnly="0" labelOnly="1" outline="0" fieldPosition="0">
        <references count="2">
          <reference field="2" count="1" selected="0">
            <x v="10"/>
          </reference>
          <reference field="3" count="1">
            <x v="27"/>
          </reference>
        </references>
      </pivotArea>
    </format>
    <format dxfId="110">
      <pivotArea dataOnly="0" labelOnly="1" outline="0" fieldPosition="0">
        <references count="2">
          <reference field="2" count="1" selected="0">
            <x v="11"/>
          </reference>
          <reference field="3" count="1">
            <x v="25"/>
          </reference>
        </references>
      </pivotArea>
    </format>
    <format dxfId="109">
      <pivotArea dataOnly="0" labelOnly="1" outline="0" fieldPosition="0">
        <references count="2">
          <reference field="2" count="1" selected="0">
            <x v="12"/>
          </reference>
          <reference field="3" count="1">
            <x v="51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13"/>
          </reference>
          <reference field="3" count="1">
            <x v="34"/>
          </reference>
        </references>
      </pivotArea>
    </format>
    <format dxfId="107">
      <pivotArea dataOnly="0" labelOnly="1" outline="0" fieldPosition="0">
        <references count="2">
          <reference field="2" count="1" selected="0">
            <x v="14"/>
          </reference>
          <reference field="3" count="1">
            <x v="12"/>
          </reference>
        </references>
      </pivotArea>
    </format>
    <format dxfId="106">
      <pivotArea dataOnly="0" labelOnly="1" outline="0" fieldPosition="0">
        <references count="2">
          <reference field="2" count="1" selected="0">
            <x v="15"/>
          </reference>
          <reference field="3" count="1">
            <x v="45"/>
          </reference>
        </references>
      </pivotArea>
    </format>
    <format dxfId="105">
      <pivotArea dataOnly="0" labelOnly="1" outline="0" fieldPosition="0">
        <references count="2">
          <reference field="2" count="1" selected="0">
            <x v="16"/>
          </reference>
          <reference field="3" count="1">
            <x v="0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17"/>
          </reference>
          <reference field="3" count="1">
            <x v="38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18"/>
          </reference>
          <reference field="3" count="1">
            <x v="28"/>
          </reference>
        </references>
      </pivotArea>
    </format>
    <format dxfId="102">
      <pivotArea dataOnly="0" labelOnly="1" outline="0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101">
      <pivotArea dataOnly="0" labelOnly="1" outline="0" fieldPosition="0">
        <references count="2">
          <reference field="2" count="1" selected="0">
            <x v="20"/>
          </reference>
          <reference field="3" count="1">
            <x v="46"/>
          </reference>
        </references>
      </pivotArea>
    </format>
    <format dxfId="100">
      <pivotArea dataOnly="0" labelOnly="1" outline="0" fieldPosition="0">
        <references count="2">
          <reference field="2" count="1" selected="0">
            <x v="21"/>
          </reference>
          <reference field="3" count="1">
            <x v="6"/>
          </reference>
        </references>
      </pivotArea>
    </format>
    <format dxfId="99">
      <pivotArea dataOnly="0" labelOnly="1" outline="0" fieldPosition="0">
        <references count="2">
          <reference field="2" count="1" selected="0">
            <x v="22"/>
          </reference>
          <reference field="3" count="1">
            <x v="14"/>
          </reference>
        </references>
      </pivotArea>
    </format>
    <format dxfId="98">
      <pivotArea dataOnly="0" labelOnly="1" outline="0" fieldPosition="0">
        <references count="2">
          <reference field="2" count="1" selected="0">
            <x v="23"/>
          </reference>
          <reference field="3" count="1">
            <x v="41"/>
          </reference>
        </references>
      </pivotArea>
    </format>
    <format dxfId="97">
      <pivotArea dataOnly="0" labelOnly="1" outline="0" fieldPosition="0">
        <references count="2">
          <reference field="2" count="1" selected="0">
            <x v="24"/>
          </reference>
          <reference field="3" count="1">
            <x v="31"/>
          </reference>
        </references>
      </pivotArea>
    </format>
    <format dxfId="96">
      <pivotArea dataOnly="0" labelOnly="1" outline="0" fieldPosition="0">
        <references count="2">
          <reference field="2" count="1" selected="0">
            <x v="25"/>
          </reference>
          <reference field="3" count="1">
            <x v="20"/>
          </reference>
        </references>
      </pivotArea>
    </format>
    <format dxfId="95">
      <pivotArea dataOnly="0" labelOnly="1" outline="0" fieldPosition="0">
        <references count="2">
          <reference field="2" count="1" selected="0">
            <x v="26"/>
          </reference>
          <reference field="3" count="1">
            <x v="37"/>
          </reference>
        </references>
      </pivotArea>
    </format>
    <format dxfId="94">
      <pivotArea dataOnly="0" labelOnly="1" outline="0" fieldPosition="0">
        <references count="2">
          <reference field="2" count="1" selected="0">
            <x v="27"/>
          </reference>
          <reference field="3" count="1">
            <x v="33"/>
          </reference>
        </references>
      </pivotArea>
    </format>
    <format dxfId="93">
      <pivotArea dataOnly="0" labelOnly="1" outline="0" fieldPosition="0">
        <references count="2">
          <reference field="2" count="1" selected="0">
            <x v="28"/>
          </reference>
          <reference field="3" count="1">
            <x v="32"/>
          </reference>
        </references>
      </pivotArea>
    </format>
    <format dxfId="92">
      <pivotArea dataOnly="0" labelOnly="1" outline="0" fieldPosition="0">
        <references count="2">
          <reference field="2" count="1" selected="0">
            <x v="29"/>
          </reference>
          <reference field="3" count="1">
            <x v="22"/>
          </reference>
        </references>
      </pivotArea>
    </format>
    <format dxfId="91">
      <pivotArea dataOnly="0" labelOnly="1" outline="0" fieldPosition="0">
        <references count="2">
          <reference field="2" count="1" selected="0">
            <x v="30"/>
          </reference>
          <reference field="3" count="1">
            <x v="54"/>
          </reference>
        </references>
      </pivotArea>
    </format>
    <format dxfId="90">
      <pivotArea dataOnly="0" labelOnly="1" outline="0" fieldPosition="0">
        <references count="2">
          <reference field="2" count="1" selected="0">
            <x v="31"/>
          </reference>
          <reference field="3" count="1">
            <x v="42"/>
          </reference>
        </references>
      </pivotArea>
    </format>
    <format dxfId="89">
      <pivotArea dataOnly="0" labelOnly="1" outline="0" fieldPosition="0">
        <references count="2">
          <reference field="2" count="1" selected="0">
            <x v="32"/>
          </reference>
          <reference field="3" count="1">
            <x v="1"/>
          </reference>
        </references>
      </pivotArea>
    </format>
    <format dxfId="88">
      <pivotArea dataOnly="0" labelOnly="1" outline="0" fieldPosition="0">
        <references count="2">
          <reference field="2" count="1" selected="0">
            <x v="33"/>
          </reference>
          <reference field="3" count="1">
            <x v="2"/>
          </reference>
        </references>
      </pivotArea>
    </format>
    <format dxfId="87">
      <pivotArea dataOnly="0" labelOnly="1" outline="0" fieldPosition="0">
        <references count="2">
          <reference field="2" count="1" selected="0">
            <x v="34"/>
          </reference>
          <reference field="3" count="1">
            <x v="57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35"/>
          </reference>
          <reference field="3" count="1">
            <x v="4"/>
          </reference>
        </references>
      </pivotArea>
    </format>
    <format dxfId="85">
      <pivotArea dataOnly="0" labelOnly="1" outline="0" fieldPosition="0">
        <references count="2">
          <reference field="2" count="1" selected="0">
            <x v="36"/>
          </reference>
          <reference field="3" count="1">
            <x v="30"/>
          </reference>
        </references>
      </pivotArea>
    </format>
    <format dxfId="84">
      <pivotArea dataOnly="0" labelOnly="1" outline="0" fieldPosition="0">
        <references count="2">
          <reference field="2" count="1" selected="0">
            <x v="37"/>
          </reference>
          <reference field="3" count="1">
            <x v="21"/>
          </reference>
        </references>
      </pivotArea>
    </format>
    <format dxfId="83">
      <pivotArea dataOnly="0" labelOnly="1" outline="0" fieldPosition="0">
        <references count="2">
          <reference field="2" count="1" selected="0">
            <x v="38"/>
          </reference>
          <reference field="3" count="1">
            <x v="49"/>
          </reference>
        </references>
      </pivotArea>
    </format>
    <format dxfId="82">
      <pivotArea dataOnly="0" labelOnly="1" outline="0" fieldPosition="0">
        <references count="2">
          <reference field="2" count="1" selected="0">
            <x v="39"/>
          </reference>
          <reference field="3" count="1">
            <x v="18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40"/>
          </reference>
          <reference field="3" count="1">
            <x v="26"/>
          </reference>
        </references>
      </pivotArea>
    </format>
    <format dxfId="80">
      <pivotArea dataOnly="0" labelOnly="1" outline="0" fieldPosition="0">
        <references count="2">
          <reference field="2" count="1" selected="0">
            <x v="41"/>
          </reference>
          <reference field="3" count="1">
            <x v="43"/>
          </reference>
        </references>
      </pivotArea>
    </format>
    <format dxfId="79">
      <pivotArea dataOnly="0" labelOnly="1" outline="0" fieldPosition="0">
        <references count="2">
          <reference field="2" count="1" selected="0">
            <x v="42"/>
          </reference>
          <reference field="3" count="1">
            <x v="13"/>
          </reference>
        </references>
      </pivotArea>
    </format>
    <format dxfId="78">
      <pivotArea dataOnly="0" labelOnly="1" outline="0" fieldPosition="0">
        <references count="2">
          <reference field="2" count="1" selected="0">
            <x v="43"/>
          </reference>
          <reference field="3" count="1">
            <x v="5"/>
          </reference>
        </references>
      </pivotArea>
    </format>
    <format dxfId="77">
      <pivotArea dataOnly="0" labelOnly="1" outline="0" fieldPosition="0">
        <references count="2">
          <reference field="2" count="1" selected="0">
            <x v="44"/>
          </reference>
          <reference field="3" count="1">
            <x v="7"/>
          </reference>
        </references>
      </pivotArea>
    </format>
    <format dxfId="76">
      <pivotArea dataOnly="0" labelOnly="1" outline="0" fieldPosition="0">
        <references count="2">
          <reference field="2" count="1" selected="0">
            <x v="45"/>
          </reference>
          <reference field="3" count="1">
            <x v="58"/>
          </reference>
        </references>
      </pivotArea>
    </format>
    <format dxfId="75">
      <pivotArea dataOnly="0" labelOnly="1" outline="0" fieldPosition="0">
        <references count="2">
          <reference field="2" count="1" selected="0">
            <x v="46"/>
          </reference>
          <reference field="3" count="1">
            <x v="24"/>
          </reference>
        </references>
      </pivotArea>
    </format>
    <format dxfId="74">
      <pivotArea dataOnly="0" labelOnly="1" outline="0" fieldPosition="0">
        <references count="2">
          <reference field="2" count="1" selected="0">
            <x v="47"/>
          </reference>
          <reference field="3" count="1">
            <x v="36"/>
          </reference>
        </references>
      </pivotArea>
    </format>
    <format dxfId="73">
      <pivotArea dataOnly="0" labelOnly="1" outline="0" fieldPosition="0">
        <references count="2">
          <reference field="2" count="1" selected="0">
            <x v="48"/>
          </reference>
          <reference field="3" count="1">
            <x v="47"/>
          </reference>
        </references>
      </pivotArea>
    </format>
    <format dxfId="72">
      <pivotArea dataOnly="0" labelOnly="1" outline="0" fieldPosition="0">
        <references count="2">
          <reference field="2" count="1" selected="0">
            <x v="49"/>
          </reference>
          <reference field="3" count="1">
            <x v="17"/>
          </reference>
        </references>
      </pivotArea>
    </format>
    <format dxfId="71">
      <pivotArea dataOnly="0" labelOnly="1" outline="0" fieldPosition="0">
        <references count="2">
          <reference field="2" count="1" selected="0">
            <x v="50"/>
          </reference>
          <reference field="3" count="1">
            <x v="11"/>
          </reference>
        </references>
      </pivotArea>
    </format>
    <format dxfId="70">
      <pivotArea dataOnly="0" labelOnly="1" outline="0" fieldPosition="0">
        <references count="2">
          <reference field="2" count="1" selected="0">
            <x v="51"/>
          </reference>
          <reference field="3" count="1">
            <x v="8"/>
          </reference>
        </references>
      </pivotArea>
    </format>
    <format dxfId="69">
      <pivotArea dataOnly="0" labelOnly="1" outline="0" fieldPosition="0">
        <references count="2">
          <reference field="2" count="1" selected="0">
            <x v="52"/>
          </reference>
          <reference field="3" count="1">
            <x v="53"/>
          </reference>
        </references>
      </pivotArea>
    </format>
    <format dxfId="68">
      <pivotArea dataOnly="0" labelOnly="1" outline="0" fieldPosition="0">
        <references count="2">
          <reference field="2" count="1" selected="0">
            <x v="53"/>
          </reference>
          <reference field="3" count="1">
            <x v="52"/>
          </reference>
        </references>
      </pivotArea>
    </format>
    <format dxfId="67">
      <pivotArea dataOnly="0" labelOnly="1" outline="0" fieldPosition="0">
        <references count="2">
          <reference field="2" count="1" selected="0">
            <x v="54"/>
          </reference>
          <reference field="3" count="1">
            <x v="9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55"/>
          </reference>
          <reference field="3" count="1">
            <x v="48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56"/>
          </reference>
          <reference field="3" count="1">
            <x v="3"/>
          </reference>
        </references>
      </pivotArea>
    </format>
    <format dxfId="64">
      <pivotArea dataOnly="0" labelOnly="1" outline="0" fieldPosition="0">
        <references count="2">
          <reference field="2" count="1" selected="0">
            <x v="57"/>
          </reference>
          <reference field="3" count="1">
            <x v="35"/>
          </reference>
        </references>
      </pivotArea>
    </format>
    <format dxfId="63">
      <pivotArea dataOnly="0" labelOnly="1" outline="0" fieldPosition="0">
        <references count="2">
          <reference field="2" count="1" selected="0">
            <x v="58"/>
          </reference>
          <reference field="3" count="1">
            <x v="50"/>
          </reference>
        </references>
      </pivotArea>
    </format>
    <format dxfId="62">
      <pivotArea dataOnly="0" labelOnly="1" outline="0" fieldPosition="0">
        <references count="1">
          <reference field="5" count="0"/>
        </references>
      </pivotArea>
    </format>
    <format dxfId="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4028C-18EF-42F1-BFEA-B23AAA27FA3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16" firstHeaderRow="1" firstDataRow="3" firstDataCol="2" rowPageCount="2" colPageCount="1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14"/>
        <item x="47"/>
        <item x="6"/>
        <item x="7"/>
        <item x="5"/>
        <item x="48"/>
        <item x="54"/>
        <item x="53"/>
        <item x="52"/>
        <item x="35"/>
        <item x="10"/>
        <item x="22"/>
        <item x="24"/>
        <item x="23"/>
        <item x="21"/>
        <item x="38"/>
        <item x="56"/>
        <item x="59"/>
        <item x="57"/>
        <item x="28"/>
        <item x="39"/>
        <item x="2"/>
        <item x="43"/>
        <item x="37"/>
        <item x="17"/>
        <item x="36"/>
        <item x="30"/>
        <item x="20"/>
        <item x="26"/>
        <item x="13"/>
        <item x="51"/>
        <item x="33"/>
        <item x="18"/>
        <item x="19"/>
        <item x="32"/>
        <item x="1"/>
        <item x="31"/>
        <item x="12"/>
        <item x="41"/>
        <item x="11"/>
        <item x="27"/>
        <item x="45"/>
        <item x="42"/>
        <item x="4"/>
        <item x="3"/>
        <item x="55"/>
        <item x="16"/>
        <item x="29"/>
        <item x="40"/>
        <item x="44"/>
        <item x="9"/>
        <item x="8"/>
        <item x="50"/>
        <item x="49"/>
        <item x="34"/>
        <item x="46"/>
        <item x="0"/>
        <item x="58"/>
        <item x="15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56"/>
        <item x="18"/>
        <item x="19"/>
        <item x="0"/>
        <item x="1"/>
        <item x="4"/>
        <item x="2"/>
        <item x="3"/>
        <item x="8"/>
        <item x="34"/>
        <item x="5"/>
        <item x="9"/>
        <item x="21"/>
        <item x="42"/>
        <item x="43"/>
        <item x="6"/>
        <item x="47"/>
        <item x="44"/>
        <item x="11"/>
        <item x="28"/>
        <item x="36"/>
        <item x="12"/>
        <item x="13"/>
        <item x="14"/>
        <item x="16"/>
        <item x="22"/>
        <item x="27"/>
        <item x="10"/>
        <item x="57"/>
        <item x="35"/>
        <item x="31"/>
        <item x="17"/>
        <item x="26"/>
        <item x="20"/>
        <item x="23"/>
        <item x="58"/>
        <item x="29"/>
        <item x="30"/>
        <item x="59"/>
        <item x="48"/>
        <item x="52"/>
        <item x="37"/>
        <item x="33"/>
        <item x="45"/>
        <item x="7"/>
        <item x="38"/>
        <item x="39"/>
        <item x="40"/>
        <item x="46"/>
        <item x="41"/>
        <item x="15"/>
        <item x="24"/>
        <item x="49"/>
        <item x="50"/>
        <item x="51"/>
        <item x="53"/>
        <item x="54"/>
        <item x="32"/>
        <item x="55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0">
    <i>
      <x v="21"/>
      <x v="6"/>
    </i>
    <i>
      <x v="26"/>
      <x v="37"/>
    </i>
    <i>
      <x v="29"/>
      <x v="22"/>
    </i>
    <i>
      <x v="31"/>
      <x v="42"/>
    </i>
    <i>
      <x v="37"/>
      <x v="21"/>
    </i>
    <i>
      <x v="39"/>
      <x v="18"/>
    </i>
    <i>
      <x v="40"/>
      <x v="26"/>
    </i>
    <i>
      <x v="44"/>
      <x v="7"/>
    </i>
    <i>
      <x v="45"/>
      <x v="58"/>
    </i>
    <i t="grand">
      <x/>
    </i>
  </rowItems>
  <colFields count="2">
    <field x="5"/>
    <field x="6"/>
  </colFields>
  <colItems count="2">
    <i>
      <x/>
      <x/>
    </i>
    <i t="grand">
      <x/>
    </i>
  </colItems>
  <pageFields count="2">
    <pageField fld="9" item="0" hier="-1"/>
    <pageField fld="12" item="0" hier="-1"/>
  </pageFields>
  <dataFields count="1">
    <dataField name="Sum of Meal Count" fld="18" baseField="0" baseItem="0" numFmtId="169"/>
  </dataFields>
  <formats count="32">
    <format dxfId="60">
      <pivotArea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5" type="button" dataOnly="0" labelOnly="1" outline="0" axis="axisCol" fieldPosition="0"/>
    </format>
    <format dxfId="55">
      <pivotArea field="6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2" type="button" dataOnly="0" labelOnly="1" outline="0" axis="axisRow" fieldPosition="0"/>
    </format>
    <format dxfId="52">
      <pivotArea field="3" type="button" dataOnly="0" labelOnly="1" outline="0" axis="axisRow" fieldPosition="1"/>
    </format>
    <format dxfId="51">
      <pivotArea dataOnly="0" labelOnly="1" outline="0" fieldPosition="0">
        <references count="1">
          <reference field="2" count="1">
            <x v="3"/>
          </reference>
        </references>
      </pivotArea>
    </format>
    <format dxfId="50">
      <pivotArea dataOnly="0" labelOnly="1" outline="0" fieldPosition="0">
        <references count="1">
          <reference field="2" count="3">
            <x v="9"/>
            <x v="19"/>
            <x v="21"/>
          </reference>
        </references>
      </pivotArea>
    </format>
    <format dxfId="49">
      <pivotArea dataOnly="0" labelOnly="1" outline="0" fieldPosition="0">
        <references count="1">
          <reference field="2" count="1">
            <x v="24"/>
          </reference>
        </references>
      </pivotArea>
    </format>
    <format dxfId="48">
      <pivotArea dataOnly="0" labelOnly="1" outline="0" fieldPosition="0">
        <references count="1">
          <reference field="2" count="8">
            <x v="26"/>
            <x v="28"/>
            <x v="29"/>
            <x v="31"/>
            <x v="37"/>
            <x v="39"/>
            <x v="40"/>
            <x v="44"/>
          </reference>
        </references>
      </pivotArea>
    </format>
    <format dxfId="47">
      <pivotArea dataOnly="0" labelOnly="1" outline="0" fieldPosition="0">
        <references count="1">
          <reference field="2" count="2">
            <x v="45"/>
            <x v="47"/>
          </reference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2">
          <reference field="2" count="1" selected="0">
            <x v="3"/>
          </reference>
          <reference field="3" count="1">
            <x v="44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9"/>
          </reference>
          <reference field="3" count="1">
            <x v="29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42">
      <pivotArea dataOnly="0" labelOnly="1" outline="0" fieldPosition="0">
        <references count="2">
          <reference field="2" count="1" selected="0">
            <x v="21"/>
          </reference>
          <reference field="3" count="1">
            <x v="6"/>
          </reference>
        </references>
      </pivotArea>
    </format>
    <format dxfId="41">
      <pivotArea dataOnly="0" labelOnly="1" outline="0" fieldPosition="0">
        <references count="2">
          <reference field="2" count="1" selected="0">
            <x v="24"/>
          </reference>
          <reference field="3" count="1">
            <x v="31"/>
          </reference>
        </references>
      </pivotArea>
    </format>
    <format dxfId="40">
      <pivotArea dataOnly="0" labelOnly="1" outline="0" fieldPosition="0">
        <references count="2">
          <reference field="2" count="1" selected="0">
            <x v="26"/>
          </reference>
          <reference field="3" count="1">
            <x v="37"/>
          </reference>
        </references>
      </pivotArea>
    </format>
    <format dxfId="39">
      <pivotArea dataOnly="0" labelOnly="1" outline="0" fieldPosition="0">
        <references count="2">
          <reference field="2" count="1" selected="0">
            <x v="28"/>
          </reference>
          <reference field="3" count="1">
            <x v="32"/>
          </reference>
        </references>
      </pivotArea>
    </format>
    <format dxfId="38">
      <pivotArea dataOnly="0" labelOnly="1" outline="0" fieldPosition="0">
        <references count="2">
          <reference field="2" count="1" selected="0">
            <x v="29"/>
          </reference>
          <reference field="3" count="1">
            <x v="22"/>
          </reference>
        </references>
      </pivotArea>
    </format>
    <format dxfId="37">
      <pivotArea dataOnly="0" labelOnly="1" outline="0" fieldPosition="0">
        <references count="2">
          <reference field="2" count="1" selected="0">
            <x v="31"/>
          </reference>
          <reference field="3" count="1">
            <x v="42"/>
          </reference>
        </references>
      </pivotArea>
    </format>
    <format dxfId="36">
      <pivotArea dataOnly="0" labelOnly="1" outline="0" fieldPosition="0">
        <references count="2">
          <reference field="2" count="1" selected="0">
            <x v="37"/>
          </reference>
          <reference field="3" count="1">
            <x v="21"/>
          </reference>
        </references>
      </pivotArea>
    </format>
    <format dxfId="35">
      <pivotArea dataOnly="0" labelOnly="1" outline="0" fieldPosition="0">
        <references count="2">
          <reference field="2" count="1" selected="0">
            <x v="39"/>
          </reference>
          <reference field="3" count="1">
            <x v="18"/>
          </reference>
        </references>
      </pivotArea>
    </format>
    <format dxfId="34">
      <pivotArea dataOnly="0" labelOnly="1" outline="0" fieldPosition="0">
        <references count="2">
          <reference field="2" count="1" selected="0">
            <x v="40"/>
          </reference>
          <reference field="3" count="1">
            <x v="26"/>
          </reference>
        </references>
      </pivotArea>
    </format>
    <format dxfId="33">
      <pivotArea dataOnly="0" labelOnly="1" outline="0" fieldPosition="0">
        <references count="2">
          <reference field="2" count="1" selected="0">
            <x v="44"/>
          </reference>
          <reference field="3" count="1">
            <x v="7"/>
          </reference>
        </references>
      </pivotArea>
    </format>
    <format dxfId="32">
      <pivotArea dataOnly="0" labelOnly="1" outline="0" fieldPosition="0">
        <references count="2">
          <reference field="2" count="1" selected="0">
            <x v="45"/>
          </reference>
          <reference field="3" count="1">
            <x v="58"/>
          </reference>
        </references>
      </pivotArea>
    </format>
    <format dxfId="31">
      <pivotArea dataOnly="0" labelOnly="1" outline="0" fieldPosition="0">
        <references count="2">
          <reference field="2" count="1" selected="0">
            <x v="47"/>
          </reference>
          <reference field="3" count="1">
            <x v="36"/>
          </reference>
        </references>
      </pivotArea>
    </format>
    <format dxfId="30">
      <pivotArea dataOnly="0" labelOnly="1" outline="0" fieldPosition="0">
        <references count="1">
          <reference field="5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showGridLines="0" showOutlineSymbols="0" workbookViewId="0">
      <pane xSplit="8" ySplit="10" topLeftCell="I11" activePane="bottomRight" state="frozenSplit"/>
      <selection activeCell="B592" sqref="B592"/>
      <selection pane="topRight" activeCell="B592" sqref="B592"/>
      <selection pane="bottomLeft" activeCell="B592" sqref="B592"/>
      <selection pane="bottomRight" activeCell="B592" sqref="B592"/>
    </sheetView>
  </sheetViews>
  <sheetFormatPr defaultRowHeight="12.75" x14ac:dyDescent="0.2"/>
  <cols>
    <col min="1" max="1" width="1" customWidth="1"/>
    <col min="2" max="2" width="8.7109375" customWidth="1"/>
    <col min="3" max="3" width="21.7109375" customWidth="1"/>
    <col min="4" max="4" width="18.85546875" customWidth="1"/>
    <col min="5" max="5" width="11.7109375" customWidth="1"/>
    <col min="6" max="6" width="15.5703125" customWidth="1"/>
    <col min="7" max="7" width="7.7109375" customWidth="1"/>
    <col min="8" max="8" width="7.85546875" bestFit="1" customWidth="1"/>
    <col min="9" max="10" width="11.140625" bestFit="1" customWidth="1"/>
    <col min="11" max="11" width="10.42578125" bestFit="1" customWidth="1"/>
    <col min="12" max="12" width="12" bestFit="1" customWidth="1"/>
    <col min="13" max="13" width="13.5703125" bestFit="1" customWidth="1"/>
    <col min="14" max="19" width="13.5703125" customWidth="1"/>
    <col min="20" max="31" width="13.5703125" bestFit="1" customWidth="1"/>
    <col min="32" max="32" width="10.42578125" bestFit="1" customWidth="1"/>
    <col min="33" max="33" width="13.85546875" bestFit="1" customWidth="1"/>
  </cols>
  <sheetData>
    <row r="1" spans="1:12" ht="6.75" customHeight="1" x14ac:dyDescent="0.2"/>
    <row r="2" spans="1:12" x14ac:dyDescent="0.2">
      <c r="B2" s="7" t="s">
        <v>20</v>
      </c>
      <c r="C2" s="20">
        <f>Data!U2</f>
        <v>46268.655147939811</v>
      </c>
      <c r="D2" s="19"/>
      <c r="F2" t="s">
        <v>25</v>
      </c>
    </row>
    <row r="3" spans="1:12" x14ac:dyDescent="0.2">
      <c r="B3" s="7" t="s">
        <v>23</v>
      </c>
      <c r="C3" s="17" t="str">
        <f>IF(Data!E2="SFSPN","Summer Food and Seamless",IF(Data!E2="SFSPC","Summer Food",IF(Data!E2="SNP","School Nutrition Program",IF(Data!E2="MILK","Milk",IF(Data!E2="FDCH","FDCH Operation",IF(Data!E2="Seamless","Summer Food and Seamless",Data!E2))))))</f>
        <v>School Nutrition Program</v>
      </c>
      <c r="D3" s="19"/>
    </row>
    <row r="4" spans="1:12" x14ac:dyDescent="0.2">
      <c r="B4" s="7" t="s">
        <v>24</v>
      </c>
      <c r="C4" s="17" t="e">
        <f>#REF!&amp;" "&amp;#REF!</f>
        <v>#REF!</v>
      </c>
      <c r="D4" s="19"/>
    </row>
    <row r="5" spans="1:12" x14ac:dyDescent="0.2">
      <c r="B5" s="27" t="s">
        <v>28</v>
      </c>
      <c r="C5" s="28" t="s">
        <v>0</v>
      </c>
      <c r="D5" s="18"/>
    </row>
    <row r="7" spans="1:12" x14ac:dyDescent="0.2">
      <c r="B7" s="21"/>
      <c r="C7" s="22"/>
      <c r="D7" s="22"/>
      <c r="E7" s="22"/>
      <c r="F7" s="22"/>
      <c r="G7" s="22"/>
      <c r="H7" s="22"/>
      <c r="I7" s="23" t="s">
        <v>34</v>
      </c>
      <c r="J7" s="24" t="s">
        <v>35</v>
      </c>
      <c r="K7" s="24" t="s">
        <v>22</v>
      </c>
      <c r="L7" s="25"/>
    </row>
    <row r="8" spans="1:12" x14ac:dyDescent="0.2">
      <c r="B8" s="26"/>
      <c r="C8" s="1"/>
      <c r="D8" s="1"/>
      <c r="E8" s="1"/>
      <c r="F8" s="1"/>
      <c r="G8" s="1"/>
      <c r="H8" s="1"/>
      <c r="I8" s="8">
        <v>2026</v>
      </c>
      <c r="J8" s="9"/>
      <c r="K8" s="14" t="s">
        <v>29</v>
      </c>
      <c r="L8" s="14" t="s">
        <v>32</v>
      </c>
    </row>
    <row r="9" spans="1:12" x14ac:dyDescent="0.2">
      <c r="B9" s="26"/>
      <c r="C9" s="1"/>
      <c r="D9" s="1"/>
      <c r="E9" s="1"/>
      <c r="F9" s="1"/>
      <c r="G9" s="1"/>
      <c r="H9" s="1"/>
      <c r="I9" s="36">
        <v>7</v>
      </c>
      <c r="J9" s="37"/>
      <c r="K9" s="15"/>
      <c r="L9" s="15"/>
    </row>
    <row r="10" spans="1:12" x14ac:dyDescent="0.2">
      <c r="B10" s="23" t="s">
        <v>14</v>
      </c>
      <c r="C10" s="23" t="s">
        <v>11</v>
      </c>
      <c r="D10" s="23" t="s">
        <v>12</v>
      </c>
      <c r="E10" s="23" t="s">
        <v>13</v>
      </c>
      <c r="F10" s="23" t="s">
        <v>36</v>
      </c>
      <c r="G10" s="23" t="s">
        <v>26</v>
      </c>
      <c r="H10" s="23" t="s">
        <v>27</v>
      </c>
      <c r="I10" s="38" t="s">
        <v>30</v>
      </c>
      <c r="J10" s="39" t="s">
        <v>33</v>
      </c>
      <c r="K10" s="16"/>
      <c r="L10" s="16"/>
    </row>
    <row r="11" spans="1:12" ht="25.5" x14ac:dyDescent="0.2">
      <c r="A11" s="10"/>
      <c r="B11" s="33" t="s">
        <v>42</v>
      </c>
      <c r="C11" s="33" t="s">
        <v>62</v>
      </c>
      <c r="D11" s="33" t="s">
        <v>159</v>
      </c>
      <c r="E11" s="33" t="s">
        <v>41</v>
      </c>
      <c r="F11" s="21" t="s">
        <v>44</v>
      </c>
      <c r="G11" s="33" t="s">
        <v>48</v>
      </c>
      <c r="H11" s="33" t="s">
        <v>63</v>
      </c>
      <c r="I11" s="29">
        <v>4419</v>
      </c>
      <c r="J11" s="30">
        <v>5744.7000000000007</v>
      </c>
      <c r="K11" s="29">
        <v>4419</v>
      </c>
      <c r="L11" s="31">
        <v>5744.7000000000007</v>
      </c>
    </row>
    <row r="12" spans="1:12" ht="12.75" customHeight="1" x14ac:dyDescent="0.2">
      <c r="A12" s="10"/>
      <c r="B12" s="40"/>
      <c r="C12" s="33" t="s">
        <v>40</v>
      </c>
      <c r="D12" s="33" t="s">
        <v>159</v>
      </c>
      <c r="E12" s="33" t="s">
        <v>41</v>
      </c>
      <c r="F12" s="21" t="s">
        <v>46</v>
      </c>
      <c r="G12" s="33" t="s">
        <v>43</v>
      </c>
      <c r="H12" s="33" t="s">
        <v>44</v>
      </c>
      <c r="I12" s="29">
        <v>18673</v>
      </c>
      <c r="J12" s="30">
        <v>56952.65</v>
      </c>
      <c r="K12" s="29">
        <v>18673</v>
      </c>
      <c r="L12" s="31">
        <v>56952.65</v>
      </c>
    </row>
    <row r="13" spans="1:12" ht="12.75" customHeight="1" x14ac:dyDescent="0.2">
      <c r="B13" s="40"/>
      <c r="C13" s="40"/>
      <c r="D13" s="40"/>
      <c r="E13" s="40"/>
      <c r="F13" s="21" t="s">
        <v>72</v>
      </c>
      <c r="G13" s="33" t="s">
        <v>43</v>
      </c>
      <c r="H13" s="33" t="s">
        <v>44</v>
      </c>
      <c r="I13" s="29">
        <v>8683</v>
      </c>
      <c r="J13" s="30">
        <v>22054.82</v>
      </c>
      <c r="K13" s="29">
        <v>8683</v>
      </c>
      <c r="L13" s="31">
        <v>22054.82</v>
      </c>
    </row>
    <row r="14" spans="1:12" ht="12.75" customHeight="1" x14ac:dyDescent="0.2">
      <c r="B14" s="40"/>
      <c r="C14" s="40"/>
      <c r="D14" s="40"/>
      <c r="E14" s="33" t="s">
        <v>64</v>
      </c>
      <c r="F14" s="21" t="s">
        <v>46</v>
      </c>
      <c r="G14" s="33" t="s">
        <v>43</v>
      </c>
      <c r="H14" s="33" t="s">
        <v>44</v>
      </c>
      <c r="I14" s="29">
        <v>906</v>
      </c>
      <c r="J14" s="30">
        <v>2491.5</v>
      </c>
      <c r="K14" s="29">
        <v>906</v>
      </c>
      <c r="L14" s="31">
        <v>2491.5</v>
      </c>
    </row>
    <row r="15" spans="1:12" ht="12.75" customHeight="1" x14ac:dyDescent="0.2">
      <c r="B15" s="40"/>
      <c r="C15" s="40"/>
      <c r="D15" s="40"/>
      <c r="E15" s="40"/>
      <c r="F15" s="21" t="s">
        <v>72</v>
      </c>
      <c r="G15" s="33" t="s">
        <v>43</v>
      </c>
      <c r="H15" s="33" t="s">
        <v>44</v>
      </c>
      <c r="I15" s="29">
        <v>2405</v>
      </c>
      <c r="J15" s="30">
        <v>5387.2000000000007</v>
      </c>
      <c r="K15" s="29">
        <v>2405</v>
      </c>
      <c r="L15" s="31">
        <v>5387.2000000000007</v>
      </c>
    </row>
    <row r="16" spans="1:12" ht="25.5" x14ac:dyDescent="0.2">
      <c r="B16" s="40"/>
      <c r="C16" s="40"/>
      <c r="D16" s="40"/>
      <c r="E16" s="33" t="s">
        <v>65</v>
      </c>
      <c r="F16" s="21" t="s">
        <v>46</v>
      </c>
      <c r="G16" s="33" t="s">
        <v>43</v>
      </c>
      <c r="H16" s="33" t="s">
        <v>44</v>
      </c>
      <c r="I16" s="29">
        <v>3957</v>
      </c>
      <c r="J16" s="30">
        <v>1661.94</v>
      </c>
      <c r="K16" s="29">
        <v>3957</v>
      </c>
      <c r="L16" s="31">
        <v>1661.94</v>
      </c>
    </row>
    <row r="17" spans="2:12" ht="25.5" x14ac:dyDescent="0.2">
      <c r="B17" s="40"/>
      <c r="C17" s="40"/>
      <c r="D17" s="40"/>
      <c r="E17" s="40"/>
      <c r="F17" s="21" t="s">
        <v>72</v>
      </c>
      <c r="G17" s="33" t="s">
        <v>43</v>
      </c>
      <c r="H17" s="33" t="s">
        <v>44</v>
      </c>
      <c r="I17" s="29">
        <v>13850</v>
      </c>
      <c r="J17" s="30">
        <v>5817</v>
      </c>
      <c r="K17" s="29">
        <v>13850</v>
      </c>
      <c r="L17" s="31">
        <v>5817</v>
      </c>
    </row>
    <row r="18" spans="2:12" ht="12.75" customHeight="1" x14ac:dyDescent="0.2">
      <c r="B18" s="40"/>
      <c r="C18" s="33" t="s">
        <v>47</v>
      </c>
      <c r="D18" s="33" t="s">
        <v>159</v>
      </c>
      <c r="E18" s="33" t="s">
        <v>41</v>
      </c>
      <c r="F18" s="21" t="s">
        <v>50</v>
      </c>
      <c r="G18" s="33" t="s">
        <v>48</v>
      </c>
      <c r="H18" s="33" t="s">
        <v>49</v>
      </c>
      <c r="I18" s="29">
        <v>14977</v>
      </c>
      <c r="J18" s="30">
        <v>64550.869999999995</v>
      </c>
      <c r="K18" s="29">
        <v>14977</v>
      </c>
      <c r="L18" s="31">
        <v>64550.869999999995</v>
      </c>
    </row>
    <row r="19" spans="2:12" ht="12.75" customHeight="1" x14ac:dyDescent="0.2">
      <c r="B19" s="40"/>
      <c r="C19" s="40"/>
      <c r="D19" s="40"/>
      <c r="E19" s="40"/>
      <c r="F19" s="21" t="s">
        <v>66</v>
      </c>
      <c r="G19" s="33" t="s">
        <v>48</v>
      </c>
      <c r="H19" s="33" t="s">
        <v>49</v>
      </c>
      <c r="I19" s="29">
        <v>18919</v>
      </c>
      <c r="J19" s="30">
        <v>81540.889999999985</v>
      </c>
      <c r="K19" s="29">
        <v>18919</v>
      </c>
      <c r="L19" s="31">
        <v>81540.889999999985</v>
      </c>
    </row>
    <row r="20" spans="2:12" ht="12.75" customHeight="1" x14ac:dyDescent="0.2">
      <c r="B20" s="40"/>
      <c r="C20" s="40"/>
      <c r="D20" s="40"/>
      <c r="E20" s="33" t="s">
        <v>51</v>
      </c>
      <c r="F20" s="21" t="s">
        <v>53</v>
      </c>
      <c r="G20" s="33" t="s">
        <v>48</v>
      </c>
      <c r="H20" s="33" t="s">
        <v>52</v>
      </c>
      <c r="I20" s="29">
        <v>64416</v>
      </c>
      <c r="J20" s="30">
        <v>5797.44</v>
      </c>
      <c r="K20" s="29">
        <v>64416</v>
      </c>
      <c r="L20" s="31">
        <v>5797.44</v>
      </c>
    </row>
    <row r="21" spans="2:12" ht="12.75" customHeight="1" x14ac:dyDescent="0.2">
      <c r="B21" s="40"/>
      <c r="C21" s="40"/>
      <c r="D21" s="40"/>
      <c r="E21" s="33" t="s">
        <v>64</v>
      </c>
      <c r="F21" s="21" t="s">
        <v>50</v>
      </c>
      <c r="G21" s="33" t="s">
        <v>48</v>
      </c>
      <c r="H21" s="33" t="s">
        <v>49</v>
      </c>
      <c r="I21" s="29">
        <v>233</v>
      </c>
      <c r="J21" s="30">
        <v>911.03</v>
      </c>
      <c r="K21" s="29">
        <v>233</v>
      </c>
      <c r="L21" s="31">
        <v>911.03</v>
      </c>
    </row>
    <row r="22" spans="2:12" ht="25.5" x14ac:dyDescent="0.2">
      <c r="B22" s="40"/>
      <c r="C22" s="40"/>
      <c r="D22" s="40"/>
      <c r="E22" s="40"/>
      <c r="F22" s="21" t="s">
        <v>66</v>
      </c>
      <c r="G22" s="33" t="s">
        <v>48</v>
      </c>
      <c r="H22" s="33" t="s">
        <v>49</v>
      </c>
      <c r="I22" s="29">
        <v>4461</v>
      </c>
      <c r="J22" s="30">
        <v>17442.509999999998</v>
      </c>
      <c r="K22" s="29">
        <v>4461</v>
      </c>
      <c r="L22" s="31">
        <v>17442.509999999998</v>
      </c>
    </row>
    <row r="23" spans="2:12" ht="25.5" x14ac:dyDescent="0.2">
      <c r="B23" s="40"/>
      <c r="C23" s="40"/>
      <c r="D23" s="40"/>
      <c r="E23" s="33" t="s">
        <v>54</v>
      </c>
      <c r="F23" s="21" t="s">
        <v>50</v>
      </c>
      <c r="G23" s="33" t="s">
        <v>48</v>
      </c>
      <c r="H23" s="33" t="s">
        <v>55</v>
      </c>
      <c r="I23" s="29">
        <v>16280</v>
      </c>
      <c r="J23" s="30">
        <v>7651.6</v>
      </c>
      <c r="K23" s="29">
        <v>16280</v>
      </c>
      <c r="L23" s="31">
        <v>7651.6</v>
      </c>
    </row>
    <row r="24" spans="2:12" ht="12.75" customHeight="1" x14ac:dyDescent="0.2">
      <c r="B24" s="40"/>
      <c r="C24" s="40"/>
      <c r="D24" s="40"/>
      <c r="E24" s="40"/>
      <c r="F24" s="21" t="s">
        <v>66</v>
      </c>
      <c r="G24" s="33" t="s">
        <v>48</v>
      </c>
      <c r="H24" s="33" t="s">
        <v>55</v>
      </c>
      <c r="I24" s="29">
        <v>48136</v>
      </c>
      <c r="J24" s="30">
        <v>21661.199999999997</v>
      </c>
      <c r="K24" s="29">
        <v>48136</v>
      </c>
      <c r="L24" s="31">
        <v>21661.199999999997</v>
      </c>
    </row>
    <row r="25" spans="2:12" ht="12.75" customHeight="1" x14ac:dyDescent="0.2">
      <c r="B25" s="33" t="s">
        <v>56</v>
      </c>
      <c r="C25" s="33" t="s">
        <v>40</v>
      </c>
      <c r="D25" s="33" t="s">
        <v>96</v>
      </c>
      <c r="E25" s="33" t="s">
        <v>65</v>
      </c>
      <c r="F25" s="21" t="s">
        <v>97</v>
      </c>
      <c r="G25" s="33" t="s">
        <v>67</v>
      </c>
      <c r="H25" s="33" t="s">
        <v>44</v>
      </c>
      <c r="I25" s="29">
        <v>28</v>
      </c>
      <c r="J25" s="30">
        <v>0</v>
      </c>
      <c r="K25" s="29">
        <v>28</v>
      </c>
      <c r="L25" s="31">
        <v>0</v>
      </c>
    </row>
    <row r="26" spans="2:12" ht="12.75" customHeight="1" x14ac:dyDescent="0.2">
      <c r="B26" s="40"/>
      <c r="C26" s="40"/>
      <c r="D26" s="33" t="s">
        <v>159</v>
      </c>
      <c r="E26" s="33" t="s">
        <v>64</v>
      </c>
      <c r="F26" s="21" t="s">
        <v>58</v>
      </c>
      <c r="G26" s="33" t="s">
        <v>67</v>
      </c>
      <c r="H26" s="33" t="s">
        <v>44</v>
      </c>
      <c r="I26" s="29">
        <v>3311</v>
      </c>
      <c r="J26" s="30">
        <v>993.30000000000018</v>
      </c>
      <c r="K26" s="29">
        <v>3311</v>
      </c>
      <c r="L26" s="31">
        <v>993.30000000000018</v>
      </c>
    </row>
    <row r="27" spans="2:12" ht="12.75" customHeight="1" x14ac:dyDescent="0.2">
      <c r="B27" s="40"/>
      <c r="C27" s="40"/>
      <c r="D27" s="40"/>
      <c r="E27" s="33" t="s">
        <v>65</v>
      </c>
      <c r="F27" s="21" t="s">
        <v>68</v>
      </c>
      <c r="G27" s="33" t="s">
        <v>67</v>
      </c>
      <c r="H27" s="33" t="s">
        <v>44</v>
      </c>
      <c r="I27" s="29">
        <v>3957</v>
      </c>
      <c r="J27" s="30">
        <v>10406.909999999998</v>
      </c>
      <c r="K27" s="29">
        <v>3957</v>
      </c>
      <c r="L27" s="31">
        <v>10406.909999999998</v>
      </c>
    </row>
    <row r="28" spans="2:12" ht="12.75" customHeight="1" x14ac:dyDescent="0.2">
      <c r="B28" s="40"/>
      <c r="C28" s="40"/>
      <c r="D28" s="40"/>
      <c r="E28" s="40"/>
      <c r="F28" s="21" t="s">
        <v>73</v>
      </c>
      <c r="G28" s="33" t="s">
        <v>67</v>
      </c>
      <c r="H28" s="33" t="s">
        <v>44</v>
      </c>
      <c r="I28" s="29">
        <v>13850</v>
      </c>
      <c r="J28" s="30">
        <v>29362.000000000004</v>
      </c>
      <c r="K28" s="29">
        <v>13850</v>
      </c>
      <c r="L28" s="31">
        <v>29362.000000000004</v>
      </c>
    </row>
    <row r="29" spans="2:12" ht="12.75" customHeight="1" x14ac:dyDescent="0.2">
      <c r="B29" s="40"/>
      <c r="C29" s="33" t="s">
        <v>47</v>
      </c>
      <c r="D29" s="33" t="s">
        <v>159</v>
      </c>
      <c r="E29" s="33" t="s">
        <v>41</v>
      </c>
      <c r="F29" s="21" t="s">
        <v>58</v>
      </c>
      <c r="G29" s="33" t="s">
        <v>57</v>
      </c>
      <c r="H29" s="33" t="s">
        <v>44</v>
      </c>
      <c r="I29" s="29">
        <v>33896</v>
      </c>
      <c r="J29" s="30">
        <v>4236.8699999999981</v>
      </c>
      <c r="K29" s="29">
        <v>33896</v>
      </c>
      <c r="L29" s="31">
        <v>4236.8699999999981</v>
      </c>
    </row>
    <row r="30" spans="2:12" ht="12.75" customHeight="1" x14ac:dyDescent="0.2">
      <c r="B30" s="40"/>
      <c r="C30" s="40"/>
      <c r="D30" s="40"/>
      <c r="E30" s="33" t="s">
        <v>64</v>
      </c>
      <c r="F30" s="21" t="s">
        <v>58</v>
      </c>
      <c r="G30" s="33" t="s">
        <v>57</v>
      </c>
      <c r="H30" s="33" t="s">
        <v>44</v>
      </c>
      <c r="I30" s="29">
        <v>4694</v>
      </c>
      <c r="J30" s="30">
        <v>2464.2700000000004</v>
      </c>
      <c r="K30" s="29">
        <v>4694</v>
      </c>
      <c r="L30" s="31">
        <v>2464.2700000000004</v>
      </c>
    </row>
    <row r="31" spans="2:12" ht="12.75" customHeight="1" x14ac:dyDescent="0.2">
      <c r="B31" s="40"/>
      <c r="C31" s="40"/>
      <c r="D31" s="40"/>
      <c r="E31" s="33" t="s">
        <v>65</v>
      </c>
      <c r="F31" s="21" t="s">
        <v>58</v>
      </c>
      <c r="G31" s="33" t="s">
        <v>57</v>
      </c>
      <c r="H31" s="33" t="s">
        <v>44</v>
      </c>
      <c r="I31" s="29">
        <v>25826</v>
      </c>
      <c r="J31" s="30">
        <v>114538.24000000001</v>
      </c>
      <c r="K31" s="29">
        <v>25826</v>
      </c>
      <c r="L31" s="31">
        <v>114538.24000000001</v>
      </c>
    </row>
    <row r="32" spans="2:12" x14ac:dyDescent="0.2">
      <c r="B32" s="34" t="s">
        <v>1</v>
      </c>
      <c r="C32" s="35"/>
      <c r="D32" s="35"/>
      <c r="E32" s="35"/>
      <c r="F32" s="35"/>
      <c r="G32" s="35"/>
      <c r="H32" s="35"/>
      <c r="I32" s="48">
        <v>305877</v>
      </c>
      <c r="J32" s="32">
        <v>461666.93999999994</v>
      </c>
      <c r="K32" s="48">
        <v>305877</v>
      </c>
      <c r="L32" s="47">
        <v>461666.93999999994</v>
      </c>
    </row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</sheetData>
  <phoneticPr fontId="1" type="noConversion"/>
  <pageMargins left="0.37" right="0.36" top="0.5" bottom="0.39" header="0.25" footer="0.24"/>
  <pageSetup scale="85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7"/>
  <sheetViews>
    <sheetView workbookViewId="0">
      <pane ySplit="1" topLeftCell="A535" activePane="bottomLeft" state="frozenSplit"/>
      <selection activeCell="B592" sqref="B592"/>
      <selection pane="bottomLeft" activeCell="B592" sqref="B592"/>
    </sheetView>
  </sheetViews>
  <sheetFormatPr defaultRowHeight="12.75" x14ac:dyDescent="0.2"/>
  <cols>
    <col min="1" max="1" width="11" style="2" bestFit="1" customWidth="1"/>
    <col min="2" max="2" width="34.7109375" customWidth="1"/>
    <col min="3" max="3" width="11" style="2" bestFit="1" customWidth="1"/>
    <col min="4" max="4" width="34.7109375" customWidth="1"/>
    <col min="5" max="5" width="17.5703125" customWidth="1"/>
    <col min="6" max="6" width="10.140625" bestFit="1" customWidth="1"/>
    <col min="7" max="7" width="11.42578125" bestFit="1" customWidth="1"/>
    <col min="8" max="8" width="13.42578125" bestFit="1" customWidth="1"/>
    <col min="9" max="9" width="11.7109375" bestFit="1" customWidth="1"/>
    <col min="10" max="10" width="17.5703125" bestFit="1" customWidth="1"/>
    <col min="11" max="11" width="17.28515625" bestFit="1" customWidth="1"/>
    <col min="12" max="12" width="9.42578125" bestFit="1" customWidth="1"/>
    <col min="13" max="13" width="7.7109375" bestFit="1" customWidth="1"/>
    <col min="14" max="14" width="4.7109375" bestFit="1" customWidth="1"/>
    <col min="15" max="16" width="17" bestFit="1" customWidth="1"/>
    <col min="17" max="17" width="14.7109375" bestFit="1" customWidth="1"/>
    <col min="18" max="18" width="9.140625" style="3"/>
    <col min="19" max="19" width="17.7109375" style="4" customWidth="1"/>
    <col min="20" max="20" width="17.7109375" style="5" customWidth="1"/>
    <col min="21" max="21" width="16.7109375" style="13" customWidth="1"/>
    <col min="22" max="22" width="20.85546875" customWidth="1"/>
  </cols>
  <sheetData>
    <row r="1" spans="1:22" x14ac:dyDescent="0.2">
      <c r="A1" s="2" t="s">
        <v>2</v>
      </c>
      <c r="B1" t="s">
        <v>3</v>
      </c>
      <c r="C1" s="2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s="3" t="s">
        <v>19</v>
      </c>
      <c r="S1" s="4" t="s">
        <v>21</v>
      </c>
      <c r="T1" s="5" t="s">
        <v>31</v>
      </c>
      <c r="U1" s="13" t="s">
        <v>20</v>
      </c>
      <c r="V1" t="s">
        <v>36</v>
      </c>
    </row>
    <row r="2" spans="1:22" x14ac:dyDescent="0.2">
      <c r="A2" s="2">
        <v>2000010403</v>
      </c>
      <c r="B2" s="6" t="s">
        <v>37</v>
      </c>
      <c r="C2" s="2">
        <v>9000019333</v>
      </c>
      <c r="D2" t="s">
        <v>37</v>
      </c>
      <c r="E2" s="6" t="s">
        <v>38</v>
      </c>
      <c r="F2">
        <v>2026</v>
      </c>
      <c r="G2">
        <v>7</v>
      </c>
      <c r="H2">
        <v>0</v>
      </c>
      <c r="I2" t="s">
        <v>39</v>
      </c>
      <c r="J2" t="s">
        <v>40</v>
      </c>
      <c r="L2" t="s">
        <v>41</v>
      </c>
      <c r="M2" t="s">
        <v>42</v>
      </c>
      <c r="O2" t="s">
        <v>43</v>
      </c>
      <c r="P2" t="s">
        <v>44</v>
      </c>
      <c r="Q2" t="s">
        <v>45</v>
      </c>
      <c r="R2" s="3">
        <v>3.05</v>
      </c>
      <c r="S2" s="11">
        <v>228</v>
      </c>
      <c r="T2" s="12">
        <v>695.4</v>
      </c>
      <c r="U2" s="13">
        <v>46268.655147939811</v>
      </c>
      <c r="V2" t="s">
        <v>46</v>
      </c>
    </row>
    <row r="3" spans="1:22" x14ac:dyDescent="0.2">
      <c r="A3">
        <v>2000010403</v>
      </c>
      <c r="B3" t="s">
        <v>37</v>
      </c>
      <c r="C3">
        <v>9000019333</v>
      </c>
      <c r="D3" t="s">
        <v>37</v>
      </c>
      <c r="E3" t="s">
        <v>38</v>
      </c>
      <c r="F3">
        <v>2026</v>
      </c>
      <c r="G3">
        <v>7</v>
      </c>
      <c r="H3">
        <v>0</v>
      </c>
      <c r="I3" t="s">
        <v>39</v>
      </c>
      <c r="J3" t="s">
        <v>47</v>
      </c>
      <c r="L3" t="s">
        <v>41</v>
      </c>
      <c r="M3" t="s">
        <v>42</v>
      </c>
      <c r="O3" t="s">
        <v>48</v>
      </c>
      <c r="P3" t="s">
        <v>49</v>
      </c>
      <c r="Q3" t="s">
        <v>45</v>
      </c>
      <c r="R3">
        <v>4.3099999999999996</v>
      </c>
      <c r="S3">
        <v>263</v>
      </c>
      <c r="T3">
        <v>1133.53</v>
      </c>
      <c r="U3">
        <v>46268.655147939811</v>
      </c>
      <c r="V3" t="s">
        <v>50</v>
      </c>
    </row>
    <row r="4" spans="1:22" x14ac:dyDescent="0.2">
      <c r="A4">
        <v>2000010403</v>
      </c>
      <c r="B4" t="s">
        <v>37</v>
      </c>
      <c r="C4">
        <v>9000019333</v>
      </c>
      <c r="D4" t="s">
        <v>37</v>
      </c>
      <c r="E4" t="s">
        <v>38</v>
      </c>
      <c r="F4">
        <v>2026</v>
      </c>
      <c r="G4">
        <v>7</v>
      </c>
      <c r="H4">
        <v>0</v>
      </c>
      <c r="I4" t="s">
        <v>39</v>
      </c>
      <c r="J4" t="s">
        <v>47</v>
      </c>
      <c r="L4" t="s">
        <v>51</v>
      </c>
      <c r="M4" t="s">
        <v>42</v>
      </c>
      <c r="O4" t="s">
        <v>48</v>
      </c>
      <c r="P4" t="s">
        <v>52</v>
      </c>
      <c r="Q4" t="s">
        <v>45</v>
      </c>
      <c r="R4">
        <v>0.09</v>
      </c>
      <c r="S4">
        <v>263</v>
      </c>
      <c r="T4">
        <v>23.67</v>
      </c>
      <c r="U4">
        <v>46268.655147939811</v>
      </c>
      <c r="V4" t="s">
        <v>53</v>
      </c>
    </row>
    <row r="5" spans="1:22" x14ac:dyDescent="0.2">
      <c r="A5">
        <v>2000010403</v>
      </c>
      <c r="B5" t="s">
        <v>37</v>
      </c>
      <c r="C5">
        <v>9000019333</v>
      </c>
      <c r="D5" t="s">
        <v>37</v>
      </c>
      <c r="E5" t="s">
        <v>38</v>
      </c>
      <c r="F5">
        <v>2026</v>
      </c>
      <c r="G5">
        <v>7</v>
      </c>
      <c r="H5">
        <v>0</v>
      </c>
      <c r="I5" t="s">
        <v>39</v>
      </c>
      <c r="J5" t="s">
        <v>47</v>
      </c>
      <c r="L5" t="s">
        <v>54</v>
      </c>
      <c r="M5" t="s">
        <v>42</v>
      </c>
      <c r="O5" t="s">
        <v>48</v>
      </c>
      <c r="P5" t="s">
        <v>55</v>
      </c>
      <c r="Q5" t="s">
        <v>45</v>
      </c>
      <c r="R5">
        <v>0.47</v>
      </c>
      <c r="S5">
        <v>263</v>
      </c>
      <c r="T5">
        <v>123.61</v>
      </c>
      <c r="U5">
        <v>46268.655147939811</v>
      </c>
      <c r="V5" t="s">
        <v>50</v>
      </c>
    </row>
    <row r="6" spans="1:22" x14ac:dyDescent="0.2">
      <c r="A6">
        <v>2000010403</v>
      </c>
      <c r="B6" t="s">
        <v>37</v>
      </c>
      <c r="C6">
        <v>9000019333</v>
      </c>
      <c r="D6" t="s">
        <v>37</v>
      </c>
      <c r="E6" t="s">
        <v>38</v>
      </c>
      <c r="F6">
        <v>2026</v>
      </c>
      <c r="G6">
        <v>7</v>
      </c>
      <c r="H6">
        <v>0</v>
      </c>
      <c r="I6" t="s">
        <v>39</v>
      </c>
      <c r="J6" t="s">
        <v>47</v>
      </c>
      <c r="L6" t="s">
        <v>41</v>
      </c>
      <c r="M6" t="s">
        <v>56</v>
      </c>
      <c r="O6" t="s">
        <v>57</v>
      </c>
      <c r="P6" t="s">
        <v>44</v>
      </c>
      <c r="Q6" t="s">
        <v>45</v>
      </c>
      <c r="R6">
        <v>0.125</v>
      </c>
      <c r="S6">
        <v>263</v>
      </c>
      <c r="T6">
        <v>32.869999999999997</v>
      </c>
      <c r="U6">
        <v>46268.655147939811</v>
      </c>
      <c r="V6" t="s">
        <v>58</v>
      </c>
    </row>
    <row r="7" spans="1:22" x14ac:dyDescent="0.2">
      <c r="A7">
        <v>1000004388</v>
      </c>
      <c r="B7" t="s">
        <v>59</v>
      </c>
      <c r="C7">
        <v>1000003253</v>
      </c>
      <c r="D7" t="s">
        <v>59</v>
      </c>
      <c r="E7" t="s">
        <v>38</v>
      </c>
      <c r="F7">
        <v>2026</v>
      </c>
      <c r="G7">
        <v>7</v>
      </c>
      <c r="H7">
        <v>0</v>
      </c>
      <c r="I7" t="s">
        <v>39</v>
      </c>
      <c r="J7" t="s">
        <v>40</v>
      </c>
      <c r="L7" t="s">
        <v>41</v>
      </c>
      <c r="M7" t="s">
        <v>42</v>
      </c>
      <c r="O7" t="s">
        <v>43</v>
      </c>
      <c r="P7" t="s">
        <v>44</v>
      </c>
      <c r="Q7" t="s">
        <v>45</v>
      </c>
      <c r="R7">
        <v>3.05</v>
      </c>
      <c r="S7">
        <v>691</v>
      </c>
      <c r="T7">
        <v>2107.5500000000002</v>
      </c>
      <c r="U7">
        <v>46268.655147939811</v>
      </c>
      <c r="V7" t="s">
        <v>46</v>
      </c>
    </row>
    <row r="8" spans="1:22" x14ac:dyDescent="0.2">
      <c r="A8">
        <v>1000004388</v>
      </c>
      <c r="B8" t="s">
        <v>59</v>
      </c>
      <c r="C8">
        <v>1000003253</v>
      </c>
      <c r="D8" t="s">
        <v>59</v>
      </c>
      <c r="E8" t="s">
        <v>38</v>
      </c>
      <c r="F8">
        <v>2026</v>
      </c>
      <c r="G8">
        <v>7</v>
      </c>
      <c r="H8">
        <v>0</v>
      </c>
      <c r="I8" t="s">
        <v>39</v>
      </c>
      <c r="J8" t="s">
        <v>47</v>
      </c>
      <c r="L8" t="s">
        <v>41</v>
      </c>
      <c r="M8" t="s">
        <v>42</v>
      </c>
      <c r="O8" t="s">
        <v>48</v>
      </c>
      <c r="P8" t="s">
        <v>49</v>
      </c>
      <c r="Q8" t="s">
        <v>45</v>
      </c>
      <c r="R8">
        <v>4.3099999999999996</v>
      </c>
      <c r="S8">
        <v>687</v>
      </c>
      <c r="T8">
        <v>2960.97</v>
      </c>
      <c r="U8">
        <v>46268.655147939811</v>
      </c>
      <c r="V8" t="s">
        <v>50</v>
      </c>
    </row>
    <row r="9" spans="1:22" x14ac:dyDescent="0.2">
      <c r="A9">
        <v>1000004388</v>
      </c>
      <c r="B9" t="s">
        <v>59</v>
      </c>
      <c r="C9">
        <v>1000003253</v>
      </c>
      <c r="D9" t="s">
        <v>59</v>
      </c>
      <c r="E9" t="s">
        <v>38</v>
      </c>
      <c r="F9">
        <v>2026</v>
      </c>
      <c r="G9">
        <v>7</v>
      </c>
      <c r="H9">
        <v>0</v>
      </c>
      <c r="I9" t="s">
        <v>39</v>
      </c>
      <c r="J9" t="s">
        <v>47</v>
      </c>
      <c r="L9" t="s">
        <v>51</v>
      </c>
      <c r="M9" t="s">
        <v>42</v>
      </c>
      <c r="O9" t="s">
        <v>48</v>
      </c>
      <c r="P9" t="s">
        <v>52</v>
      </c>
      <c r="Q9" t="s">
        <v>45</v>
      </c>
      <c r="R9">
        <v>0.09</v>
      </c>
      <c r="S9">
        <v>687</v>
      </c>
      <c r="T9">
        <v>61.83</v>
      </c>
      <c r="U9">
        <v>46268.655147939811</v>
      </c>
      <c r="V9" t="s">
        <v>53</v>
      </c>
    </row>
    <row r="10" spans="1:22" x14ac:dyDescent="0.2">
      <c r="A10">
        <v>1000004388</v>
      </c>
      <c r="B10" t="s">
        <v>59</v>
      </c>
      <c r="C10">
        <v>1000003253</v>
      </c>
      <c r="D10" t="s">
        <v>59</v>
      </c>
      <c r="E10" t="s">
        <v>38</v>
      </c>
      <c r="F10">
        <v>2026</v>
      </c>
      <c r="G10">
        <v>7</v>
      </c>
      <c r="H10">
        <v>0</v>
      </c>
      <c r="I10" t="s">
        <v>39</v>
      </c>
      <c r="J10" t="s">
        <v>47</v>
      </c>
      <c r="L10" t="s">
        <v>54</v>
      </c>
      <c r="M10" t="s">
        <v>42</v>
      </c>
      <c r="O10" t="s">
        <v>48</v>
      </c>
      <c r="P10" t="s">
        <v>55</v>
      </c>
      <c r="Q10" t="s">
        <v>45</v>
      </c>
      <c r="R10">
        <v>0.47</v>
      </c>
      <c r="S10">
        <v>687</v>
      </c>
      <c r="T10">
        <v>322.89</v>
      </c>
      <c r="U10">
        <v>46268.655147939811</v>
      </c>
      <c r="V10" t="s">
        <v>50</v>
      </c>
    </row>
    <row r="11" spans="1:22" x14ac:dyDescent="0.2">
      <c r="A11">
        <v>1000004388</v>
      </c>
      <c r="B11" t="s">
        <v>59</v>
      </c>
      <c r="C11">
        <v>1000003253</v>
      </c>
      <c r="D11" t="s">
        <v>59</v>
      </c>
      <c r="E11" t="s">
        <v>38</v>
      </c>
      <c r="F11">
        <v>2026</v>
      </c>
      <c r="G11">
        <v>7</v>
      </c>
      <c r="H11">
        <v>0</v>
      </c>
      <c r="I11" t="s">
        <v>39</v>
      </c>
      <c r="J11" t="s">
        <v>47</v>
      </c>
      <c r="L11" t="s">
        <v>41</v>
      </c>
      <c r="M11" t="s">
        <v>56</v>
      </c>
      <c r="O11" t="s">
        <v>57</v>
      </c>
      <c r="P11" t="s">
        <v>44</v>
      </c>
      <c r="Q11" t="s">
        <v>45</v>
      </c>
      <c r="R11">
        <v>0.125</v>
      </c>
      <c r="S11">
        <v>687</v>
      </c>
      <c r="T11">
        <v>85.87</v>
      </c>
      <c r="U11">
        <v>46268.655147939811</v>
      </c>
      <c r="V11" t="s">
        <v>58</v>
      </c>
    </row>
    <row r="12" spans="1:22" x14ac:dyDescent="0.2">
      <c r="A12">
        <v>1000004034</v>
      </c>
      <c r="B12" t="s">
        <v>60</v>
      </c>
      <c r="C12">
        <v>1000002360</v>
      </c>
      <c r="D12" t="s">
        <v>61</v>
      </c>
      <c r="E12" t="s">
        <v>38</v>
      </c>
      <c r="F12">
        <v>2026</v>
      </c>
      <c r="G12">
        <v>7</v>
      </c>
      <c r="H12">
        <v>0</v>
      </c>
      <c r="I12" t="s">
        <v>39</v>
      </c>
      <c r="J12" t="s">
        <v>62</v>
      </c>
      <c r="L12" t="s">
        <v>41</v>
      </c>
      <c r="M12" t="s">
        <v>42</v>
      </c>
      <c r="O12" t="s">
        <v>48</v>
      </c>
      <c r="P12" t="s">
        <v>63</v>
      </c>
      <c r="Q12" t="s">
        <v>45</v>
      </c>
      <c r="R12">
        <v>1.3</v>
      </c>
      <c r="S12">
        <v>401</v>
      </c>
      <c r="T12">
        <v>521.29999999999995</v>
      </c>
      <c r="U12">
        <v>46268.655147939811</v>
      </c>
      <c r="V12" t="s">
        <v>44</v>
      </c>
    </row>
    <row r="13" spans="1:22" x14ac:dyDescent="0.2">
      <c r="A13">
        <v>1000004034</v>
      </c>
      <c r="B13" t="s">
        <v>60</v>
      </c>
      <c r="C13">
        <v>1000002360</v>
      </c>
      <c r="D13" t="s">
        <v>61</v>
      </c>
      <c r="E13" t="s">
        <v>38</v>
      </c>
      <c r="F13">
        <v>2026</v>
      </c>
      <c r="G13">
        <v>7</v>
      </c>
      <c r="H13">
        <v>0</v>
      </c>
      <c r="I13" t="s">
        <v>39</v>
      </c>
      <c r="J13" t="s">
        <v>40</v>
      </c>
      <c r="L13" t="s">
        <v>41</v>
      </c>
      <c r="M13" t="s">
        <v>42</v>
      </c>
      <c r="O13" t="s">
        <v>43</v>
      </c>
      <c r="P13" t="s">
        <v>44</v>
      </c>
      <c r="Q13" t="s">
        <v>45</v>
      </c>
      <c r="R13">
        <v>3.05</v>
      </c>
      <c r="S13">
        <v>121</v>
      </c>
      <c r="T13">
        <v>369.05</v>
      </c>
      <c r="U13">
        <v>46268.655147939811</v>
      </c>
      <c r="V13" t="s">
        <v>46</v>
      </c>
    </row>
    <row r="14" spans="1:22" x14ac:dyDescent="0.2">
      <c r="A14">
        <v>1000004034</v>
      </c>
      <c r="B14" t="s">
        <v>60</v>
      </c>
      <c r="C14">
        <v>1000002360</v>
      </c>
      <c r="D14" t="s">
        <v>61</v>
      </c>
      <c r="E14" t="s">
        <v>38</v>
      </c>
      <c r="F14">
        <v>2026</v>
      </c>
      <c r="G14">
        <v>7</v>
      </c>
      <c r="H14">
        <v>0</v>
      </c>
      <c r="I14" t="s">
        <v>39</v>
      </c>
      <c r="J14" t="s">
        <v>40</v>
      </c>
      <c r="L14" t="s">
        <v>64</v>
      </c>
      <c r="M14" t="s">
        <v>42</v>
      </c>
      <c r="O14" t="s">
        <v>43</v>
      </c>
      <c r="P14" t="s">
        <v>44</v>
      </c>
      <c r="Q14" t="s">
        <v>45</v>
      </c>
      <c r="R14">
        <v>2.75</v>
      </c>
      <c r="S14">
        <v>36</v>
      </c>
      <c r="T14">
        <v>99</v>
      </c>
      <c r="U14">
        <v>46268.655147939811</v>
      </c>
      <c r="V14" t="s">
        <v>46</v>
      </c>
    </row>
    <row r="15" spans="1:22" x14ac:dyDescent="0.2">
      <c r="A15">
        <v>1000004034</v>
      </c>
      <c r="B15" t="s">
        <v>60</v>
      </c>
      <c r="C15">
        <v>1000002360</v>
      </c>
      <c r="D15" t="s">
        <v>61</v>
      </c>
      <c r="E15" t="s">
        <v>38</v>
      </c>
      <c r="F15">
        <v>2026</v>
      </c>
      <c r="G15">
        <v>7</v>
      </c>
      <c r="H15">
        <v>0</v>
      </c>
      <c r="I15" t="s">
        <v>39</v>
      </c>
      <c r="J15" t="s">
        <v>40</v>
      </c>
      <c r="L15" t="s">
        <v>65</v>
      </c>
      <c r="M15" t="s">
        <v>42</v>
      </c>
      <c r="O15" t="s">
        <v>43</v>
      </c>
      <c r="P15" t="s">
        <v>44</v>
      </c>
      <c r="Q15" t="s">
        <v>45</v>
      </c>
      <c r="R15">
        <v>0.42</v>
      </c>
      <c r="S15">
        <v>216</v>
      </c>
      <c r="T15">
        <v>90.72</v>
      </c>
      <c r="U15">
        <v>46268.655147939811</v>
      </c>
      <c r="V15" t="s">
        <v>46</v>
      </c>
    </row>
    <row r="16" spans="1:22" x14ac:dyDescent="0.2">
      <c r="A16">
        <v>1000004034</v>
      </c>
      <c r="B16" t="s">
        <v>60</v>
      </c>
      <c r="C16">
        <v>1000002360</v>
      </c>
      <c r="D16" t="s">
        <v>61</v>
      </c>
      <c r="E16" t="s">
        <v>38</v>
      </c>
      <c r="F16">
        <v>2026</v>
      </c>
      <c r="G16">
        <v>7</v>
      </c>
      <c r="H16">
        <v>0</v>
      </c>
      <c r="I16" t="s">
        <v>39</v>
      </c>
      <c r="J16" t="s">
        <v>47</v>
      </c>
      <c r="L16" t="s">
        <v>41</v>
      </c>
      <c r="M16" t="s">
        <v>42</v>
      </c>
      <c r="O16" t="s">
        <v>48</v>
      </c>
      <c r="P16" t="s">
        <v>49</v>
      </c>
      <c r="Q16" t="s">
        <v>45</v>
      </c>
      <c r="R16">
        <v>4.3099999999999996</v>
      </c>
      <c r="S16">
        <v>136</v>
      </c>
      <c r="T16">
        <v>586.16</v>
      </c>
      <c r="U16">
        <v>46268.655147939811</v>
      </c>
      <c r="V16" t="s">
        <v>66</v>
      </c>
    </row>
    <row r="17" spans="1:22" x14ac:dyDescent="0.2">
      <c r="A17">
        <v>1000004034</v>
      </c>
      <c r="B17" t="s">
        <v>60</v>
      </c>
      <c r="C17">
        <v>1000002360</v>
      </c>
      <c r="D17" t="s">
        <v>61</v>
      </c>
      <c r="E17" t="s">
        <v>38</v>
      </c>
      <c r="F17">
        <v>2026</v>
      </c>
      <c r="G17">
        <v>7</v>
      </c>
      <c r="H17">
        <v>0</v>
      </c>
      <c r="I17" t="s">
        <v>39</v>
      </c>
      <c r="J17" t="s">
        <v>47</v>
      </c>
      <c r="L17" t="s">
        <v>51</v>
      </c>
      <c r="M17" t="s">
        <v>42</v>
      </c>
      <c r="O17" t="s">
        <v>48</v>
      </c>
      <c r="P17" t="s">
        <v>52</v>
      </c>
      <c r="Q17" t="s">
        <v>45</v>
      </c>
      <c r="R17">
        <v>0.09</v>
      </c>
      <c r="S17">
        <v>401</v>
      </c>
      <c r="T17">
        <v>36.090000000000003</v>
      </c>
      <c r="U17">
        <v>46268.655147939811</v>
      </c>
      <c r="V17" t="s">
        <v>53</v>
      </c>
    </row>
    <row r="18" spans="1:22" x14ac:dyDescent="0.2">
      <c r="A18">
        <v>1000004034</v>
      </c>
      <c r="B18" t="s">
        <v>60</v>
      </c>
      <c r="C18">
        <v>1000002360</v>
      </c>
      <c r="D18" t="s">
        <v>61</v>
      </c>
      <c r="E18" t="s">
        <v>38</v>
      </c>
      <c r="F18">
        <v>2026</v>
      </c>
      <c r="G18">
        <v>7</v>
      </c>
      <c r="H18">
        <v>0</v>
      </c>
      <c r="I18" t="s">
        <v>39</v>
      </c>
      <c r="J18" t="s">
        <v>47</v>
      </c>
      <c r="L18" t="s">
        <v>64</v>
      </c>
      <c r="M18" t="s">
        <v>42</v>
      </c>
      <c r="O18" t="s">
        <v>48</v>
      </c>
      <c r="P18" t="s">
        <v>49</v>
      </c>
      <c r="Q18" t="s">
        <v>45</v>
      </c>
      <c r="R18">
        <v>3.91</v>
      </c>
      <c r="S18">
        <v>36</v>
      </c>
      <c r="T18">
        <v>140.76</v>
      </c>
      <c r="U18">
        <v>46268.655147939811</v>
      </c>
      <c r="V18" t="s">
        <v>66</v>
      </c>
    </row>
    <row r="19" spans="1:22" x14ac:dyDescent="0.2">
      <c r="A19">
        <v>1000004034</v>
      </c>
      <c r="B19" t="s">
        <v>60</v>
      </c>
      <c r="C19">
        <v>1000002360</v>
      </c>
      <c r="D19" t="s">
        <v>61</v>
      </c>
      <c r="E19" t="s">
        <v>38</v>
      </c>
      <c r="F19">
        <v>2026</v>
      </c>
      <c r="G19">
        <v>7</v>
      </c>
      <c r="H19">
        <v>0</v>
      </c>
      <c r="I19" t="s">
        <v>39</v>
      </c>
      <c r="J19" t="s">
        <v>47</v>
      </c>
      <c r="L19" t="s">
        <v>54</v>
      </c>
      <c r="M19" t="s">
        <v>42</v>
      </c>
      <c r="O19" t="s">
        <v>48</v>
      </c>
      <c r="P19" t="s">
        <v>55</v>
      </c>
      <c r="Q19" t="s">
        <v>45</v>
      </c>
      <c r="R19">
        <v>0.45</v>
      </c>
      <c r="S19">
        <v>401</v>
      </c>
      <c r="T19">
        <v>180.45</v>
      </c>
      <c r="U19">
        <v>46268.655147939811</v>
      </c>
      <c r="V19" t="s">
        <v>66</v>
      </c>
    </row>
    <row r="20" spans="1:22" x14ac:dyDescent="0.2">
      <c r="A20">
        <v>1000004034</v>
      </c>
      <c r="B20" t="s">
        <v>60</v>
      </c>
      <c r="C20">
        <v>1000002360</v>
      </c>
      <c r="D20" t="s">
        <v>61</v>
      </c>
      <c r="E20" t="s">
        <v>38</v>
      </c>
      <c r="F20">
        <v>2026</v>
      </c>
      <c r="G20">
        <v>7</v>
      </c>
      <c r="H20">
        <v>0</v>
      </c>
      <c r="I20" t="s">
        <v>39</v>
      </c>
      <c r="J20" t="s">
        <v>40</v>
      </c>
      <c r="L20" t="s">
        <v>64</v>
      </c>
      <c r="M20" t="s">
        <v>56</v>
      </c>
      <c r="O20" t="s">
        <v>67</v>
      </c>
      <c r="P20" t="s">
        <v>44</v>
      </c>
      <c r="Q20" t="s">
        <v>45</v>
      </c>
      <c r="R20">
        <v>0.3</v>
      </c>
      <c r="S20">
        <v>36</v>
      </c>
      <c r="T20">
        <v>10.8</v>
      </c>
      <c r="U20">
        <v>46268.655147939811</v>
      </c>
      <c r="V20" t="s">
        <v>58</v>
      </c>
    </row>
    <row r="21" spans="1:22" x14ac:dyDescent="0.2">
      <c r="A21">
        <v>1000004034</v>
      </c>
      <c r="B21" t="s">
        <v>60</v>
      </c>
      <c r="C21">
        <v>1000002360</v>
      </c>
      <c r="D21" t="s">
        <v>61</v>
      </c>
      <c r="E21" t="s">
        <v>38</v>
      </c>
      <c r="F21">
        <v>2026</v>
      </c>
      <c r="G21">
        <v>7</v>
      </c>
      <c r="H21">
        <v>0</v>
      </c>
      <c r="I21" t="s">
        <v>39</v>
      </c>
      <c r="J21" t="s">
        <v>40</v>
      </c>
      <c r="L21" t="s">
        <v>65</v>
      </c>
      <c r="M21" t="s">
        <v>56</v>
      </c>
      <c r="O21" t="s">
        <v>67</v>
      </c>
      <c r="P21" t="s">
        <v>44</v>
      </c>
      <c r="Q21" t="s">
        <v>45</v>
      </c>
      <c r="R21">
        <v>2.63</v>
      </c>
      <c r="S21">
        <v>216</v>
      </c>
      <c r="T21">
        <v>568.08000000000004</v>
      </c>
      <c r="U21">
        <v>46268.655147939811</v>
      </c>
      <c r="V21" t="s">
        <v>68</v>
      </c>
    </row>
    <row r="22" spans="1:22" x14ac:dyDescent="0.2">
      <c r="A22">
        <v>1000004034</v>
      </c>
      <c r="B22" t="s">
        <v>60</v>
      </c>
      <c r="C22">
        <v>1000002360</v>
      </c>
      <c r="D22" t="s">
        <v>61</v>
      </c>
      <c r="E22" t="s">
        <v>38</v>
      </c>
      <c r="F22">
        <v>2026</v>
      </c>
      <c r="G22">
        <v>7</v>
      </c>
      <c r="H22">
        <v>0</v>
      </c>
      <c r="I22" t="s">
        <v>39</v>
      </c>
      <c r="J22" t="s">
        <v>47</v>
      </c>
      <c r="L22" t="s">
        <v>41</v>
      </c>
      <c r="M22" t="s">
        <v>56</v>
      </c>
      <c r="O22" t="s">
        <v>57</v>
      </c>
      <c r="P22" t="s">
        <v>44</v>
      </c>
      <c r="Q22" t="s">
        <v>45</v>
      </c>
      <c r="R22">
        <v>0.125</v>
      </c>
      <c r="S22">
        <v>136</v>
      </c>
      <c r="T22">
        <v>17</v>
      </c>
      <c r="U22">
        <v>46268.655147939811</v>
      </c>
      <c r="V22" t="s">
        <v>58</v>
      </c>
    </row>
    <row r="23" spans="1:22" x14ac:dyDescent="0.2">
      <c r="A23">
        <v>1000004034</v>
      </c>
      <c r="B23" t="s">
        <v>60</v>
      </c>
      <c r="C23">
        <v>1000002360</v>
      </c>
      <c r="D23" t="s">
        <v>61</v>
      </c>
      <c r="E23" t="s">
        <v>38</v>
      </c>
      <c r="F23">
        <v>2026</v>
      </c>
      <c r="G23">
        <v>7</v>
      </c>
      <c r="H23">
        <v>0</v>
      </c>
      <c r="I23" t="s">
        <v>39</v>
      </c>
      <c r="J23" t="s">
        <v>47</v>
      </c>
      <c r="L23" t="s">
        <v>64</v>
      </c>
      <c r="M23" t="s">
        <v>56</v>
      </c>
      <c r="O23" t="s">
        <v>57</v>
      </c>
      <c r="P23" t="s">
        <v>44</v>
      </c>
      <c r="Q23" t="s">
        <v>45</v>
      </c>
      <c r="R23">
        <v>0.52500000000000002</v>
      </c>
      <c r="S23">
        <v>36</v>
      </c>
      <c r="T23">
        <v>18.899999999999999</v>
      </c>
      <c r="U23">
        <v>46268.655147939811</v>
      </c>
      <c r="V23" t="s">
        <v>58</v>
      </c>
    </row>
    <row r="24" spans="1:22" x14ac:dyDescent="0.2">
      <c r="A24">
        <v>1000004034</v>
      </c>
      <c r="B24" t="s">
        <v>60</v>
      </c>
      <c r="C24">
        <v>1000002360</v>
      </c>
      <c r="D24" t="s">
        <v>61</v>
      </c>
      <c r="E24" t="s">
        <v>38</v>
      </c>
      <c r="F24">
        <v>2026</v>
      </c>
      <c r="G24">
        <v>7</v>
      </c>
      <c r="H24">
        <v>0</v>
      </c>
      <c r="I24" t="s">
        <v>39</v>
      </c>
      <c r="J24" t="s">
        <v>47</v>
      </c>
      <c r="L24" t="s">
        <v>65</v>
      </c>
      <c r="M24" t="s">
        <v>56</v>
      </c>
      <c r="O24" t="s">
        <v>57</v>
      </c>
      <c r="P24" t="s">
        <v>44</v>
      </c>
      <c r="Q24" t="s">
        <v>45</v>
      </c>
      <c r="R24">
        <v>4.4349999999999996</v>
      </c>
      <c r="S24">
        <v>229</v>
      </c>
      <c r="T24">
        <v>1015.61</v>
      </c>
      <c r="U24">
        <v>46268.655147939811</v>
      </c>
      <c r="V24" t="s">
        <v>58</v>
      </c>
    </row>
    <row r="25" spans="1:22" x14ac:dyDescent="0.2">
      <c r="A25">
        <v>1000004034</v>
      </c>
      <c r="B25" t="s">
        <v>60</v>
      </c>
      <c r="C25">
        <v>1000005599</v>
      </c>
      <c r="D25" t="s">
        <v>69</v>
      </c>
      <c r="E25" t="s">
        <v>38</v>
      </c>
      <c r="F25">
        <v>2026</v>
      </c>
      <c r="G25">
        <v>7</v>
      </c>
      <c r="H25">
        <v>0</v>
      </c>
      <c r="I25" t="s">
        <v>39</v>
      </c>
      <c r="J25" t="s">
        <v>62</v>
      </c>
      <c r="L25" t="s">
        <v>41</v>
      </c>
      <c r="M25" t="s">
        <v>42</v>
      </c>
      <c r="O25" t="s">
        <v>48</v>
      </c>
      <c r="P25" t="s">
        <v>63</v>
      </c>
      <c r="Q25" t="s">
        <v>45</v>
      </c>
      <c r="R25">
        <v>1.3</v>
      </c>
      <c r="S25">
        <v>46</v>
      </c>
      <c r="T25">
        <v>59.8</v>
      </c>
      <c r="U25">
        <v>46268.655147939811</v>
      </c>
      <c r="V25" t="s">
        <v>44</v>
      </c>
    </row>
    <row r="26" spans="1:22" x14ac:dyDescent="0.2">
      <c r="A26">
        <v>1000004034</v>
      </c>
      <c r="B26" t="s">
        <v>60</v>
      </c>
      <c r="C26">
        <v>1000005599</v>
      </c>
      <c r="D26" t="s">
        <v>69</v>
      </c>
      <c r="E26" t="s">
        <v>38</v>
      </c>
      <c r="F26">
        <v>2026</v>
      </c>
      <c r="G26">
        <v>7</v>
      </c>
      <c r="H26">
        <v>0</v>
      </c>
      <c r="I26" t="s">
        <v>39</v>
      </c>
      <c r="J26" t="s">
        <v>40</v>
      </c>
      <c r="L26" t="s">
        <v>41</v>
      </c>
      <c r="M26" t="s">
        <v>42</v>
      </c>
      <c r="O26" t="s">
        <v>43</v>
      </c>
      <c r="P26" t="s">
        <v>44</v>
      </c>
      <c r="Q26" t="s">
        <v>45</v>
      </c>
      <c r="R26">
        <v>3.05</v>
      </c>
      <c r="S26">
        <v>20</v>
      </c>
      <c r="T26">
        <v>61</v>
      </c>
      <c r="U26">
        <v>46268.655147939811</v>
      </c>
      <c r="V26" t="s">
        <v>46</v>
      </c>
    </row>
    <row r="27" spans="1:22" x14ac:dyDescent="0.2">
      <c r="A27">
        <v>1000004034</v>
      </c>
      <c r="B27" t="s">
        <v>60</v>
      </c>
      <c r="C27">
        <v>1000005599</v>
      </c>
      <c r="D27" t="s">
        <v>69</v>
      </c>
      <c r="E27" t="s">
        <v>38</v>
      </c>
      <c r="F27">
        <v>2026</v>
      </c>
      <c r="G27">
        <v>7</v>
      </c>
      <c r="H27">
        <v>0</v>
      </c>
      <c r="I27" t="s">
        <v>39</v>
      </c>
      <c r="J27" t="s">
        <v>40</v>
      </c>
      <c r="L27" t="s">
        <v>64</v>
      </c>
      <c r="M27" t="s">
        <v>42</v>
      </c>
      <c r="O27" t="s">
        <v>43</v>
      </c>
      <c r="P27" t="s">
        <v>44</v>
      </c>
      <c r="Q27" t="s">
        <v>45</v>
      </c>
      <c r="R27">
        <v>2.75</v>
      </c>
      <c r="S27">
        <v>4</v>
      </c>
      <c r="T27">
        <v>11</v>
      </c>
      <c r="U27">
        <v>46268.655147939811</v>
      </c>
      <c r="V27" t="s">
        <v>46</v>
      </c>
    </row>
    <row r="28" spans="1:22" x14ac:dyDescent="0.2">
      <c r="A28">
        <v>1000004034</v>
      </c>
      <c r="B28" t="s">
        <v>60</v>
      </c>
      <c r="C28">
        <v>1000005599</v>
      </c>
      <c r="D28" t="s">
        <v>69</v>
      </c>
      <c r="E28" t="s">
        <v>38</v>
      </c>
      <c r="F28">
        <v>2026</v>
      </c>
      <c r="G28">
        <v>7</v>
      </c>
      <c r="H28">
        <v>0</v>
      </c>
      <c r="I28" t="s">
        <v>39</v>
      </c>
      <c r="J28" t="s">
        <v>40</v>
      </c>
      <c r="L28" t="s">
        <v>65</v>
      </c>
      <c r="M28" t="s">
        <v>42</v>
      </c>
      <c r="O28" t="s">
        <v>43</v>
      </c>
      <c r="P28" t="s">
        <v>44</v>
      </c>
      <c r="Q28" t="s">
        <v>45</v>
      </c>
      <c r="R28">
        <v>0.42</v>
      </c>
      <c r="S28">
        <v>22</v>
      </c>
      <c r="T28">
        <v>9.24</v>
      </c>
      <c r="U28">
        <v>46268.655147939811</v>
      </c>
      <c r="V28" t="s">
        <v>46</v>
      </c>
    </row>
    <row r="29" spans="1:22" x14ac:dyDescent="0.2">
      <c r="A29">
        <v>1000004034</v>
      </c>
      <c r="B29" t="s">
        <v>60</v>
      </c>
      <c r="C29">
        <v>1000005599</v>
      </c>
      <c r="D29" t="s">
        <v>69</v>
      </c>
      <c r="E29" t="s">
        <v>38</v>
      </c>
      <c r="F29">
        <v>2026</v>
      </c>
      <c r="G29">
        <v>7</v>
      </c>
      <c r="H29">
        <v>0</v>
      </c>
      <c r="I29" t="s">
        <v>39</v>
      </c>
      <c r="J29" t="s">
        <v>47</v>
      </c>
      <c r="L29" t="s">
        <v>41</v>
      </c>
      <c r="M29" t="s">
        <v>42</v>
      </c>
      <c r="O29" t="s">
        <v>48</v>
      </c>
      <c r="P29" t="s">
        <v>49</v>
      </c>
      <c r="Q29" t="s">
        <v>45</v>
      </c>
      <c r="R29">
        <v>4.3099999999999996</v>
      </c>
      <c r="S29">
        <v>20</v>
      </c>
      <c r="T29">
        <v>86.2</v>
      </c>
      <c r="U29">
        <v>46268.655147939811</v>
      </c>
      <c r="V29" t="s">
        <v>66</v>
      </c>
    </row>
    <row r="30" spans="1:22" x14ac:dyDescent="0.2">
      <c r="A30">
        <v>1000004034</v>
      </c>
      <c r="B30" t="s">
        <v>60</v>
      </c>
      <c r="C30">
        <v>1000005599</v>
      </c>
      <c r="D30" t="s">
        <v>69</v>
      </c>
      <c r="E30" t="s">
        <v>38</v>
      </c>
      <c r="F30">
        <v>2026</v>
      </c>
      <c r="G30">
        <v>7</v>
      </c>
      <c r="H30">
        <v>0</v>
      </c>
      <c r="I30" t="s">
        <v>39</v>
      </c>
      <c r="J30" t="s">
        <v>47</v>
      </c>
      <c r="L30" t="s">
        <v>51</v>
      </c>
      <c r="M30" t="s">
        <v>42</v>
      </c>
      <c r="O30" t="s">
        <v>48</v>
      </c>
      <c r="P30" t="s">
        <v>52</v>
      </c>
      <c r="Q30" t="s">
        <v>45</v>
      </c>
      <c r="R30">
        <v>0.09</v>
      </c>
      <c r="S30">
        <v>46</v>
      </c>
      <c r="T30">
        <v>4.1399999999999997</v>
      </c>
      <c r="U30">
        <v>46268.655147939811</v>
      </c>
      <c r="V30" t="s">
        <v>53</v>
      </c>
    </row>
    <row r="31" spans="1:22" x14ac:dyDescent="0.2">
      <c r="A31">
        <v>1000004034</v>
      </c>
      <c r="B31" t="s">
        <v>60</v>
      </c>
      <c r="C31">
        <v>1000005599</v>
      </c>
      <c r="D31" t="s">
        <v>69</v>
      </c>
      <c r="E31" t="s">
        <v>38</v>
      </c>
      <c r="F31">
        <v>2026</v>
      </c>
      <c r="G31">
        <v>7</v>
      </c>
      <c r="H31">
        <v>0</v>
      </c>
      <c r="I31" t="s">
        <v>39</v>
      </c>
      <c r="J31" t="s">
        <v>47</v>
      </c>
      <c r="L31" t="s">
        <v>64</v>
      </c>
      <c r="M31" t="s">
        <v>42</v>
      </c>
      <c r="O31" t="s">
        <v>48</v>
      </c>
      <c r="P31" t="s">
        <v>49</v>
      </c>
      <c r="Q31" t="s">
        <v>45</v>
      </c>
      <c r="R31">
        <v>3.91</v>
      </c>
      <c r="S31">
        <v>4</v>
      </c>
      <c r="T31">
        <v>15.64</v>
      </c>
      <c r="U31">
        <v>46268.655147939811</v>
      </c>
      <c r="V31" t="s">
        <v>66</v>
      </c>
    </row>
    <row r="32" spans="1:22" x14ac:dyDescent="0.2">
      <c r="A32">
        <v>1000004034</v>
      </c>
      <c r="B32" t="s">
        <v>60</v>
      </c>
      <c r="C32">
        <v>1000005599</v>
      </c>
      <c r="D32" t="s">
        <v>69</v>
      </c>
      <c r="E32" t="s">
        <v>38</v>
      </c>
      <c r="F32">
        <v>2026</v>
      </c>
      <c r="G32">
        <v>7</v>
      </c>
      <c r="H32">
        <v>0</v>
      </c>
      <c r="I32" t="s">
        <v>39</v>
      </c>
      <c r="J32" t="s">
        <v>47</v>
      </c>
      <c r="L32" t="s">
        <v>54</v>
      </c>
      <c r="M32" t="s">
        <v>42</v>
      </c>
      <c r="O32" t="s">
        <v>48</v>
      </c>
      <c r="P32" t="s">
        <v>55</v>
      </c>
      <c r="Q32" t="s">
        <v>45</v>
      </c>
      <c r="R32">
        <v>0.45</v>
      </c>
      <c r="S32">
        <v>46</v>
      </c>
      <c r="T32">
        <v>20.7</v>
      </c>
      <c r="U32">
        <v>46268.655147939811</v>
      </c>
      <c r="V32" t="s">
        <v>66</v>
      </c>
    </row>
    <row r="33" spans="1:22" x14ac:dyDescent="0.2">
      <c r="A33">
        <v>1000004034</v>
      </c>
      <c r="B33" t="s">
        <v>60</v>
      </c>
      <c r="C33">
        <v>1000005599</v>
      </c>
      <c r="D33" t="s">
        <v>69</v>
      </c>
      <c r="E33" t="s">
        <v>38</v>
      </c>
      <c r="F33">
        <v>2026</v>
      </c>
      <c r="G33">
        <v>7</v>
      </c>
      <c r="H33">
        <v>0</v>
      </c>
      <c r="I33" t="s">
        <v>39</v>
      </c>
      <c r="J33" t="s">
        <v>40</v>
      </c>
      <c r="L33" t="s">
        <v>64</v>
      </c>
      <c r="M33" t="s">
        <v>56</v>
      </c>
      <c r="O33" t="s">
        <v>67</v>
      </c>
      <c r="P33" t="s">
        <v>44</v>
      </c>
      <c r="Q33" t="s">
        <v>45</v>
      </c>
      <c r="R33">
        <v>0.3</v>
      </c>
      <c r="S33">
        <v>4</v>
      </c>
      <c r="T33">
        <v>1.2</v>
      </c>
      <c r="U33">
        <v>46268.655147939811</v>
      </c>
      <c r="V33" t="s">
        <v>58</v>
      </c>
    </row>
    <row r="34" spans="1:22" x14ac:dyDescent="0.2">
      <c r="A34">
        <v>1000004034</v>
      </c>
      <c r="B34" t="s">
        <v>60</v>
      </c>
      <c r="C34">
        <v>1000005599</v>
      </c>
      <c r="D34" t="s">
        <v>69</v>
      </c>
      <c r="E34" t="s">
        <v>38</v>
      </c>
      <c r="F34">
        <v>2026</v>
      </c>
      <c r="G34">
        <v>7</v>
      </c>
      <c r="H34">
        <v>0</v>
      </c>
      <c r="I34" t="s">
        <v>39</v>
      </c>
      <c r="J34" t="s">
        <v>40</v>
      </c>
      <c r="L34" t="s">
        <v>65</v>
      </c>
      <c r="M34" t="s">
        <v>56</v>
      </c>
      <c r="O34" t="s">
        <v>67</v>
      </c>
      <c r="P34" t="s">
        <v>44</v>
      </c>
      <c r="Q34" t="s">
        <v>45</v>
      </c>
      <c r="R34">
        <v>2.63</v>
      </c>
      <c r="S34">
        <v>22</v>
      </c>
      <c r="T34">
        <v>57.86</v>
      </c>
      <c r="U34">
        <v>46268.655147939811</v>
      </c>
      <c r="V34" t="s">
        <v>68</v>
      </c>
    </row>
    <row r="35" spans="1:22" x14ac:dyDescent="0.2">
      <c r="A35">
        <v>1000004034</v>
      </c>
      <c r="B35" t="s">
        <v>60</v>
      </c>
      <c r="C35">
        <v>1000005599</v>
      </c>
      <c r="D35" t="s">
        <v>69</v>
      </c>
      <c r="E35" t="s">
        <v>38</v>
      </c>
      <c r="F35">
        <v>2026</v>
      </c>
      <c r="G35">
        <v>7</v>
      </c>
      <c r="H35">
        <v>0</v>
      </c>
      <c r="I35" t="s">
        <v>39</v>
      </c>
      <c r="J35" t="s">
        <v>47</v>
      </c>
      <c r="L35" t="s">
        <v>41</v>
      </c>
      <c r="M35" t="s">
        <v>56</v>
      </c>
      <c r="O35" t="s">
        <v>57</v>
      </c>
      <c r="P35" t="s">
        <v>44</v>
      </c>
      <c r="Q35" t="s">
        <v>45</v>
      </c>
      <c r="R35">
        <v>0.125</v>
      </c>
      <c r="S35">
        <v>20</v>
      </c>
      <c r="T35">
        <v>2.5</v>
      </c>
      <c r="U35">
        <v>46268.655147939811</v>
      </c>
      <c r="V35" t="s">
        <v>58</v>
      </c>
    </row>
    <row r="36" spans="1:22" x14ac:dyDescent="0.2">
      <c r="A36">
        <v>1000004034</v>
      </c>
      <c r="B36" t="s">
        <v>60</v>
      </c>
      <c r="C36">
        <v>1000005599</v>
      </c>
      <c r="D36" t="s">
        <v>69</v>
      </c>
      <c r="E36" t="s">
        <v>38</v>
      </c>
      <c r="F36">
        <v>2026</v>
      </c>
      <c r="G36">
        <v>7</v>
      </c>
      <c r="H36">
        <v>0</v>
      </c>
      <c r="I36" t="s">
        <v>39</v>
      </c>
      <c r="J36" t="s">
        <v>47</v>
      </c>
      <c r="L36" t="s">
        <v>64</v>
      </c>
      <c r="M36" t="s">
        <v>56</v>
      </c>
      <c r="O36" t="s">
        <v>57</v>
      </c>
      <c r="P36" t="s">
        <v>44</v>
      </c>
      <c r="Q36" t="s">
        <v>45</v>
      </c>
      <c r="R36">
        <v>0.52500000000000002</v>
      </c>
      <c r="S36">
        <v>4</v>
      </c>
      <c r="T36">
        <v>2.1</v>
      </c>
      <c r="U36">
        <v>46268.655147939811</v>
      </c>
      <c r="V36" t="s">
        <v>58</v>
      </c>
    </row>
    <row r="37" spans="1:22" x14ac:dyDescent="0.2">
      <c r="A37">
        <v>1000004034</v>
      </c>
      <c r="B37" t="s">
        <v>60</v>
      </c>
      <c r="C37">
        <v>1000005599</v>
      </c>
      <c r="D37" t="s">
        <v>69</v>
      </c>
      <c r="E37" t="s">
        <v>38</v>
      </c>
      <c r="F37">
        <v>2026</v>
      </c>
      <c r="G37">
        <v>7</v>
      </c>
      <c r="H37">
        <v>0</v>
      </c>
      <c r="I37" t="s">
        <v>39</v>
      </c>
      <c r="J37" t="s">
        <v>47</v>
      </c>
      <c r="L37" t="s">
        <v>65</v>
      </c>
      <c r="M37" t="s">
        <v>56</v>
      </c>
      <c r="O37" t="s">
        <v>57</v>
      </c>
      <c r="P37" t="s">
        <v>44</v>
      </c>
      <c r="Q37" t="s">
        <v>45</v>
      </c>
      <c r="R37">
        <v>4.4349999999999996</v>
      </c>
      <c r="S37">
        <v>22</v>
      </c>
      <c r="T37">
        <v>97.57</v>
      </c>
      <c r="U37">
        <v>46268.655147939811</v>
      </c>
      <c r="V37" t="s">
        <v>58</v>
      </c>
    </row>
    <row r="38" spans="1:22" x14ac:dyDescent="0.2">
      <c r="A38">
        <v>1000003808</v>
      </c>
      <c r="B38" t="s">
        <v>70</v>
      </c>
      <c r="C38">
        <v>1000005502</v>
      </c>
      <c r="D38" t="s">
        <v>71</v>
      </c>
      <c r="E38" t="s">
        <v>38</v>
      </c>
      <c r="F38">
        <v>2026</v>
      </c>
      <c r="G38">
        <v>7</v>
      </c>
      <c r="H38">
        <v>0</v>
      </c>
      <c r="I38" t="s">
        <v>39</v>
      </c>
      <c r="J38" t="s">
        <v>40</v>
      </c>
      <c r="L38" t="s">
        <v>41</v>
      </c>
      <c r="M38" t="s">
        <v>42</v>
      </c>
      <c r="O38" t="s">
        <v>43</v>
      </c>
      <c r="P38" t="s">
        <v>44</v>
      </c>
      <c r="Q38" t="s">
        <v>45</v>
      </c>
      <c r="R38">
        <v>2.54</v>
      </c>
      <c r="S38">
        <v>392</v>
      </c>
      <c r="T38">
        <v>995.68</v>
      </c>
      <c r="U38">
        <v>46268.655147939811</v>
      </c>
      <c r="V38" t="s">
        <v>72</v>
      </c>
    </row>
    <row r="39" spans="1:22" x14ac:dyDescent="0.2">
      <c r="A39">
        <v>1000003808</v>
      </c>
      <c r="B39" t="s">
        <v>70</v>
      </c>
      <c r="C39">
        <v>1000005502</v>
      </c>
      <c r="D39" t="s">
        <v>71</v>
      </c>
      <c r="E39" t="s">
        <v>38</v>
      </c>
      <c r="F39">
        <v>2026</v>
      </c>
      <c r="G39">
        <v>7</v>
      </c>
      <c r="H39">
        <v>0</v>
      </c>
      <c r="I39" t="s">
        <v>39</v>
      </c>
      <c r="J39" t="s">
        <v>40</v>
      </c>
      <c r="L39" t="s">
        <v>64</v>
      </c>
      <c r="M39" t="s">
        <v>42</v>
      </c>
      <c r="O39" t="s">
        <v>43</v>
      </c>
      <c r="P39" t="s">
        <v>44</v>
      </c>
      <c r="Q39" t="s">
        <v>45</v>
      </c>
      <c r="R39">
        <v>2.2400000000000002</v>
      </c>
      <c r="S39">
        <v>161</v>
      </c>
      <c r="T39">
        <v>360.64</v>
      </c>
      <c r="U39">
        <v>46268.655147939811</v>
      </c>
      <c r="V39" t="s">
        <v>72</v>
      </c>
    </row>
    <row r="40" spans="1:22" x14ac:dyDescent="0.2">
      <c r="A40">
        <v>1000003808</v>
      </c>
      <c r="B40" t="s">
        <v>70</v>
      </c>
      <c r="C40">
        <v>1000005502</v>
      </c>
      <c r="D40" t="s">
        <v>71</v>
      </c>
      <c r="E40" t="s">
        <v>38</v>
      </c>
      <c r="F40">
        <v>2026</v>
      </c>
      <c r="G40">
        <v>7</v>
      </c>
      <c r="H40">
        <v>0</v>
      </c>
      <c r="I40" t="s">
        <v>39</v>
      </c>
      <c r="J40" t="s">
        <v>40</v>
      </c>
      <c r="L40" t="s">
        <v>65</v>
      </c>
      <c r="M40" t="s">
        <v>42</v>
      </c>
      <c r="O40" t="s">
        <v>43</v>
      </c>
      <c r="P40" t="s">
        <v>44</v>
      </c>
      <c r="Q40" t="s">
        <v>45</v>
      </c>
      <c r="R40">
        <v>0.42</v>
      </c>
      <c r="S40">
        <v>1075</v>
      </c>
      <c r="T40">
        <v>451.5</v>
      </c>
      <c r="U40">
        <v>46268.655147939811</v>
      </c>
      <c r="V40" t="s">
        <v>72</v>
      </c>
    </row>
    <row r="41" spans="1:22" x14ac:dyDescent="0.2">
      <c r="A41">
        <v>1000003808</v>
      </c>
      <c r="B41" t="s">
        <v>70</v>
      </c>
      <c r="C41">
        <v>1000005502</v>
      </c>
      <c r="D41" t="s">
        <v>71</v>
      </c>
      <c r="E41" t="s">
        <v>38</v>
      </c>
      <c r="F41">
        <v>2026</v>
      </c>
      <c r="G41">
        <v>7</v>
      </c>
      <c r="H41">
        <v>0</v>
      </c>
      <c r="I41" t="s">
        <v>39</v>
      </c>
      <c r="J41" t="s">
        <v>47</v>
      </c>
      <c r="L41" t="s">
        <v>41</v>
      </c>
      <c r="M41" t="s">
        <v>42</v>
      </c>
      <c r="O41" t="s">
        <v>48</v>
      </c>
      <c r="P41" t="s">
        <v>49</v>
      </c>
      <c r="Q41" t="s">
        <v>45</v>
      </c>
      <c r="R41">
        <v>4.3099999999999996</v>
      </c>
      <c r="S41">
        <v>460</v>
      </c>
      <c r="T41">
        <v>1982.6</v>
      </c>
      <c r="U41">
        <v>46268.655147939811</v>
      </c>
      <c r="V41" t="s">
        <v>66</v>
      </c>
    </row>
    <row r="42" spans="1:22" x14ac:dyDescent="0.2">
      <c r="A42">
        <v>1000003808</v>
      </c>
      <c r="B42" t="s">
        <v>70</v>
      </c>
      <c r="C42">
        <v>1000005502</v>
      </c>
      <c r="D42" t="s">
        <v>71</v>
      </c>
      <c r="E42" t="s">
        <v>38</v>
      </c>
      <c r="F42">
        <v>2026</v>
      </c>
      <c r="G42">
        <v>7</v>
      </c>
      <c r="H42">
        <v>0</v>
      </c>
      <c r="I42" t="s">
        <v>39</v>
      </c>
      <c r="J42" t="s">
        <v>47</v>
      </c>
      <c r="L42" t="s">
        <v>51</v>
      </c>
      <c r="M42" t="s">
        <v>42</v>
      </c>
      <c r="O42" t="s">
        <v>48</v>
      </c>
      <c r="P42" t="s">
        <v>52</v>
      </c>
      <c r="Q42" t="s">
        <v>45</v>
      </c>
      <c r="R42">
        <v>0.09</v>
      </c>
      <c r="S42">
        <v>1821</v>
      </c>
      <c r="T42">
        <v>163.89</v>
      </c>
      <c r="U42">
        <v>46268.655147939811</v>
      </c>
      <c r="V42" t="s">
        <v>53</v>
      </c>
    </row>
    <row r="43" spans="1:22" x14ac:dyDescent="0.2">
      <c r="A43">
        <v>1000003808</v>
      </c>
      <c r="B43" t="s">
        <v>70</v>
      </c>
      <c r="C43">
        <v>1000005502</v>
      </c>
      <c r="D43" t="s">
        <v>71</v>
      </c>
      <c r="E43" t="s">
        <v>38</v>
      </c>
      <c r="F43">
        <v>2026</v>
      </c>
      <c r="G43">
        <v>7</v>
      </c>
      <c r="H43">
        <v>0</v>
      </c>
      <c r="I43" t="s">
        <v>39</v>
      </c>
      <c r="J43" t="s">
        <v>47</v>
      </c>
      <c r="L43" t="s">
        <v>64</v>
      </c>
      <c r="M43" t="s">
        <v>42</v>
      </c>
      <c r="O43" t="s">
        <v>48</v>
      </c>
      <c r="P43" t="s">
        <v>49</v>
      </c>
      <c r="Q43" t="s">
        <v>45</v>
      </c>
      <c r="R43">
        <v>3.91</v>
      </c>
      <c r="S43">
        <v>175</v>
      </c>
      <c r="T43">
        <v>684.25</v>
      </c>
      <c r="U43">
        <v>46268.655147939811</v>
      </c>
      <c r="V43" t="s">
        <v>66</v>
      </c>
    </row>
    <row r="44" spans="1:22" x14ac:dyDescent="0.2">
      <c r="A44">
        <v>1000003808</v>
      </c>
      <c r="B44" t="s">
        <v>70</v>
      </c>
      <c r="C44">
        <v>1000005502</v>
      </c>
      <c r="D44" t="s">
        <v>71</v>
      </c>
      <c r="E44" t="s">
        <v>38</v>
      </c>
      <c r="F44">
        <v>2026</v>
      </c>
      <c r="G44">
        <v>7</v>
      </c>
      <c r="H44">
        <v>0</v>
      </c>
      <c r="I44" t="s">
        <v>39</v>
      </c>
      <c r="J44" t="s">
        <v>47</v>
      </c>
      <c r="L44" t="s">
        <v>54</v>
      </c>
      <c r="M44" t="s">
        <v>42</v>
      </c>
      <c r="O44" t="s">
        <v>48</v>
      </c>
      <c r="P44" t="s">
        <v>55</v>
      </c>
      <c r="Q44" t="s">
        <v>45</v>
      </c>
      <c r="R44">
        <v>0.45</v>
      </c>
      <c r="S44">
        <v>1821</v>
      </c>
      <c r="T44">
        <v>819.45</v>
      </c>
      <c r="U44">
        <v>46268.655147939811</v>
      </c>
      <c r="V44" t="s">
        <v>66</v>
      </c>
    </row>
    <row r="45" spans="1:22" x14ac:dyDescent="0.2">
      <c r="A45">
        <v>1000003808</v>
      </c>
      <c r="B45" t="s">
        <v>70</v>
      </c>
      <c r="C45">
        <v>1000005502</v>
      </c>
      <c r="D45" t="s">
        <v>71</v>
      </c>
      <c r="E45" t="s">
        <v>38</v>
      </c>
      <c r="F45">
        <v>2026</v>
      </c>
      <c r="G45">
        <v>7</v>
      </c>
      <c r="H45">
        <v>0</v>
      </c>
      <c r="I45" t="s">
        <v>39</v>
      </c>
      <c r="J45" t="s">
        <v>40</v>
      </c>
      <c r="L45" t="s">
        <v>64</v>
      </c>
      <c r="M45" t="s">
        <v>56</v>
      </c>
      <c r="O45" t="s">
        <v>67</v>
      </c>
      <c r="P45" t="s">
        <v>44</v>
      </c>
      <c r="Q45" t="s">
        <v>45</v>
      </c>
      <c r="R45">
        <v>0.3</v>
      </c>
      <c r="S45">
        <v>161</v>
      </c>
      <c r="T45">
        <v>48.3</v>
      </c>
      <c r="U45">
        <v>46268.655147939811</v>
      </c>
      <c r="V45" t="s">
        <v>58</v>
      </c>
    </row>
    <row r="46" spans="1:22" x14ac:dyDescent="0.2">
      <c r="A46">
        <v>1000003808</v>
      </c>
      <c r="B46" t="s">
        <v>70</v>
      </c>
      <c r="C46">
        <v>1000005502</v>
      </c>
      <c r="D46" t="s">
        <v>71</v>
      </c>
      <c r="E46" t="s">
        <v>38</v>
      </c>
      <c r="F46">
        <v>2026</v>
      </c>
      <c r="G46">
        <v>7</v>
      </c>
      <c r="H46">
        <v>0</v>
      </c>
      <c r="I46" t="s">
        <v>39</v>
      </c>
      <c r="J46" t="s">
        <v>40</v>
      </c>
      <c r="L46" t="s">
        <v>65</v>
      </c>
      <c r="M46" t="s">
        <v>56</v>
      </c>
      <c r="O46" t="s">
        <v>67</v>
      </c>
      <c r="P46" t="s">
        <v>44</v>
      </c>
      <c r="Q46" t="s">
        <v>45</v>
      </c>
      <c r="R46">
        <v>2.12</v>
      </c>
      <c r="S46">
        <v>1075</v>
      </c>
      <c r="T46">
        <v>2279</v>
      </c>
      <c r="U46">
        <v>46268.655147939811</v>
      </c>
      <c r="V46" t="s">
        <v>73</v>
      </c>
    </row>
    <row r="47" spans="1:22" x14ac:dyDescent="0.2">
      <c r="A47">
        <v>1000003808</v>
      </c>
      <c r="B47" t="s">
        <v>70</v>
      </c>
      <c r="C47">
        <v>1000005502</v>
      </c>
      <c r="D47" t="s">
        <v>71</v>
      </c>
      <c r="E47" t="s">
        <v>38</v>
      </c>
      <c r="F47">
        <v>2026</v>
      </c>
      <c r="G47">
        <v>7</v>
      </c>
      <c r="H47">
        <v>0</v>
      </c>
      <c r="I47" t="s">
        <v>39</v>
      </c>
      <c r="J47" t="s">
        <v>47</v>
      </c>
      <c r="L47" t="s">
        <v>41</v>
      </c>
      <c r="M47" t="s">
        <v>56</v>
      </c>
      <c r="O47" t="s">
        <v>57</v>
      </c>
      <c r="P47" t="s">
        <v>44</v>
      </c>
      <c r="Q47" t="s">
        <v>45</v>
      </c>
      <c r="R47">
        <v>0.125</v>
      </c>
      <c r="S47">
        <v>460</v>
      </c>
      <c r="T47">
        <v>57.5</v>
      </c>
      <c r="U47">
        <v>46268.655147939811</v>
      </c>
      <c r="V47" t="s">
        <v>58</v>
      </c>
    </row>
    <row r="48" spans="1:22" x14ac:dyDescent="0.2">
      <c r="A48">
        <v>1000003808</v>
      </c>
      <c r="B48" t="s">
        <v>70</v>
      </c>
      <c r="C48">
        <v>1000005502</v>
      </c>
      <c r="D48" t="s">
        <v>71</v>
      </c>
      <c r="E48" t="s">
        <v>38</v>
      </c>
      <c r="F48">
        <v>2026</v>
      </c>
      <c r="G48">
        <v>7</v>
      </c>
      <c r="H48">
        <v>0</v>
      </c>
      <c r="I48" t="s">
        <v>39</v>
      </c>
      <c r="J48" t="s">
        <v>47</v>
      </c>
      <c r="L48" t="s">
        <v>64</v>
      </c>
      <c r="M48" t="s">
        <v>56</v>
      </c>
      <c r="O48" t="s">
        <v>57</v>
      </c>
      <c r="P48" t="s">
        <v>44</v>
      </c>
      <c r="Q48" t="s">
        <v>45</v>
      </c>
      <c r="R48">
        <v>0.52500000000000002</v>
      </c>
      <c r="S48">
        <v>175</v>
      </c>
      <c r="T48">
        <v>91.87</v>
      </c>
      <c r="U48">
        <v>46268.655147939811</v>
      </c>
      <c r="V48" t="s">
        <v>58</v>
      </c>
    </row>
    <row r="49" spans="1:22" x14ac:dyDescent="0.2">
      <c r="A49">
        <v>1000003808</v>
      </c>
      <c r="B49" t="s">
        <v>70</v>
      </c>
      <c r="C49">
        <v>1000005502</v>
      </c>
      <c r="D49" t="s">
        <v>71</v>
      </c>
      <c r="E49" t="s">
        <v>38</v>
      </c>
      <c r="F49">
        <v>2026</v>
      </c>
      <c r="G49">
        <v>7</v>
      </c>
      <c r="H49">
        <v>0</v>
      </c>
      <c r="I49" t="s">
        <v>39</v>
      </c>
      <c r="J49" t="s">
        <v>47</v>
      </c>
      <c r="L49" t="s">
        <v>65</v>
      </c>
      <c r="M49" t="s">
        <v>56</v>
      </c>
      <c r="O49" t="s">
        <v>57</v>
      </c>
      <c r="P49" t="s">
        <v>44</v>
      </c>
      <c r="Q49" t="s">
        <v>45</v>
      </c>
      <c r="R49">
        <v>4.4349999999999996</v>
      </c>
      <c r="S49">
        <v>1186</v>
      </c>
      <c r="T49">
        <v>5259.91</v>
      </c>
      <c r="U49">
        <v>46268.655147939811</v>
      </c>
      <c r="V49" t="s">
        <v>58</v>
      </c>
    </row>
    <row r="50" spans="1:22" x14ac:dyDescent="0.2">
      <c r="A50">
        <v>1000003835</v>
      </c>
      <c r="B50" t="s">
        <v>74</v>
      </c>
      <c r="C50">
        <v>1000001397</v>
      </c>
      <c r="D50" t="s">
        <v>75</v>
      </c>
      <c r="E50" t="s">
        <v>38</v>
      </c>
      <c r="F50">
        <v>2026</v>
      </c>
      <c r="G50">
        <v>7</v>
      </c>
      <c r="H50">
        <v>0</v>
      </c>
      <c r="I50" t="s">
        <v>39</v>
      </c>
      <c r="J50" t="s">
        <v>40</v>
      </c>
      <c r="L50" t="s">
        <v>41</v>
      </c>
      <c r="M50" t="s">
        <v>42</v>
      </c>
      <c r="O50" t="s">
        <v>43</v>
      </c>
      <c r="P50" t="s">
        <v>44</v>
      </c>
      <c r="Q50" t="s">
        <v>45</v>
      </c>
      <c r="R50">
        <v>2.54</v>
      </c>
      <c r="S50">
        <v>75</v>
      </c>
      <c r="T50">
        <v>190.5</v>
      </c>
      <c r="U50">
        <v>46268.655147939811</v>
      </c>
      <c r="V50" t="s">
        <v>72</v>
      </c>
    </row>
    <row r="51" spans="1:22" x14ac:dyDescent="0.2">
      <c r="A51">
        <v>1000003835</v>
      </c>
      <c r="B51" t="s">
        <v>74</v>
      </c>
      <c r="C51">
        <v>1000001397</v>
      </c>
      <c r="D51" t="s">
        <v>75</v>
      </c>
      <c r="E51" t="s">
        <v>38</v>
      </c>
      <c r="F51">
        <v>2026</v>
      </c>
      <c r="G51">
        <v>7</v>
      </c>
      <c r="H51">
        <v>0</v>
      </c>
      <c r="I51" t="s">
        <v>39</v>
      </c>
      <c r="J51" t="s">
        <v>40</v>
      </c>
      <c r="L51" t="s">
        <v>64</v>
      </c>
      <c r="M51" t="s">
        <v>42</v>
      </c>
      <c r="O51" t="s">
        <v>43</v>
      </c>
      <c r="P51" t="s">
        <v>44</v>
      </c>
      <c r="Q51" t="s">
        <v>45</v>
      </c>
      <c r="R51">
        <v>2.2400000000000002</v>
      </c>
      <c r="S51">
        <v>32</v>
      </c>
      <c r="T51">
        <v>71.680000000000007</v>
      </c>
      <c r="U51">
        <v>46268.655147939811</v>
      </c>
      <c r="V51" t="s">
        <v>72</v>
      </c>
    </row>
    <row r="52" spans="1:22" x14ac:dyDescent="0.2">
      <c r="A52">
        <v>1000003835</v>
      </c>
      <c r="B52" t="s">
        <v>74</v>
      </c>
      <c r="C52">
        <v>1000001397</v>
      </c>
      <c r="D52" t="s">
        <v>75</v>
      </c>
      <c r="E52" t="s">
        <v>38</v>
      </c>
      <c r="F52">
        <v>2026</v>
      </c>
      <c r="G52">
        <v>7</v>
      </c>
      <c r="H52">
        <v>0</v>
      </c>
      <c r="I52" t="s">
        <v>39</v>
      </c>
      <c r="J52" t="s">
        <v>40</v>
      </c>
      <c r="L52" t="s">
        <v>65</v>
      </c>
      <c r="M52" t="s">
        <v>42</v>
      </c>
      <c r="O52" t="s">
        <v>43</v>
      </c>
      <c r="P52" t="s">
        <v>44</v>
      </c>
      <c r="Q52" t="s">
        <v>45</v>
      </c>
      <c r="R52">
        <v>0.42</v>
      </c>
      <c r="S52">
        <v>540</v>
      </c>
      <c r="T52">
        <v>226.8</v>
      </c>
      <c r="U52">
        <v>46268.655147939811</v>
      </c>
      <c r="V52" t="s">
        <v>72</v>
      </c>
    </row>
    <row r="53" spans="1:22" x14ac:dyDescent="0.2">
      <c r="A53">
        <v>1000003835</v>
      </c>
      <c r="B53" t="s">
        <v>74</v>
      </c>
      <c r="C53">
        <v>1000001397</v>
      </c>
      <c r="D53" t="s">
        <v>75</v>
      </c>
      <c r="E53" t="s">
        <v>38</v>
      </c>
      <c r="F53">
        <v>2026</v>
      </c>
      <c r="G53">
        <v>7</v>
      </c>
      <c r="H53">
        <v>0</v>
      </c>
      <c r="I53" t="s">
        <v>39</v>
      </c>
      <c r="J53" t="s">
        <v>47</v>
      </c>
      <c r="L53" t="s">
        <v>41</v>
      </c>
      <c r="M53" t="s">
        <v>42</v>
      </c>
      <c r="O53" t="s">
        <v>48</v>
      </c>
      <c r="P53" t="s">
        <v>49</v>
      </c>
      <c r="Q53" t="s">
        <v>45</v>
      </c>
      <c r="R53">
        <v>4.3099999999999996</v>
      </c>
      <c r="S53">
        <v>100</v>
      </c>
      <c r="T53">
        <v>431</v>
      </c>
      <c r="U53">
        <v>46268.655147939811</v>
      </c>
      <c r="V53" t="s">
        <v>66</v>
      </c>
    </row>
    <row r="54" spans="1:22" x14ac:dyDescent="0.2">
      <c r="A54">
        <v>1000003835</v>
      </c>
      <c r="B54" t="s">
        <v>74</v>
      </c>
      <c r="C54">
        <v>1000001397</v>
      </c>
      <c r="D54" t="s">
        <v>75</v>
      </c>
      <c r="E54" t="s">
        <v>38</v>
      </c>
      <c r="F54">
        <v>2026</v>
      </c>
      <c r="G54">
        <v>7</v>
      </c>
      <c r="H54">
        <v>0</v>
      </c>
      <c r="I54" t="s">
        <v>39</v>
      </c>
      <c r="J54" t="s">
        <v>47</v>
      </c>
      <c r="L54" t="s">
        <v>51</v>
      </c>
      <c r="M54" t="s">
        <v>42</v>
      </c>
      <c r="O54" t="s">
        <v>48</v>
      </c>
      <c r="P54" t="s">
        <v>52</v>
      </c>
      <c r="Q54" t="s">
        <v>45</v>
      </c>
      <c r="R54">
        <v>0.09</v>
      </c>
      <c r="S54">
        <v>751</v>
      </c>
      <c r="T54">
        <v>67.59</v>
      </c>
      <c r="U54">
        <v>46268.655147939811</v>
      </c>
      <c r="V54" t="s">
        <v>53</v>
      </c>
    </row>
    <row r="55" spans="1:22" x14ac:dyDescent="0.2">
      <c r="A55">
        <v>1000003835</v>
      </c>
      <c r="B55" t="s">
        <v>74</v>
      </c>
      <c r="C55">
        <v>1000001397</v>
      </c>
      <c r="D55" t="s">
        <v>75</v>
      </c>
      <c r="E55" t="s">
        <v>38</v>
      </c>
      <c r="F55">
        <v>2026</v>
      </c>
      <c r="G55">
        <v>7</v>
      </c>
      <c r="H55">
        <v>0</v>
      </c>
      <c r="I55" t="s">
        <v>39</v>
      </c>
      <c r="J55" t="s">
        <v>47</v>
      </c>
      <c r="L55" t="s">
        <v>64</v>
      </c>
      <c r="M55" t="s">
        <v>42</v>
      </c>
      <c r="O55" t="s">
        <v>48</v>
      </c>
      <c r="P55" t="s">
        <v>49</v>
      </c>
      <c r="Q55" t="s">
        <v>45</v>
      </c>
      <c r="R55">
        <v>3.91</v>
      </c>
      <c r="S55">
        <v>33</v>
      </c>
      <c r="T55">
        <v>129.03</v>
      </c>
      <c r="U55">
        <v>46268.655147939811</v>
      </c>
      <c r="V55" t="s">
        <v>66</v>
      </c>
    </row>
    <row r="56" spans="1:22" x14ac:dyDescent="0.2">
      <c r="A56">
        <v>1000003835</v>
      </c>
      <c r="B56" t="s">
        <v>74</v>
      </c>
      <c r="C56">
        <v>1000001397</v>
      </c>
      <c r="D56" t="s">
        <v>75</v>
      </c>
      <c r="E56" t="s">
        <v>38</v>
      </c>
      <c r="F56">
        <v>2026</v>
      </c>
      <c r="G56">
        <v>7</v>
      </c>
      <c r="H56">
        <v>0</v>
      </c>
      <c r="I56" t="s">
        <v>39</v>
      </c>
      <c r="J56" t="s">
        <v>47</v>
      </c>
      <c r="L56" t="s">
        <v>54</v>
      </c>
      <c r="M56" t="s">
        <v>42</v>
      </c>
      <c r="O56" t="s">
        <v>48</v>
      </c>
      <c r="P56" t="s">
        <v>55</v>
      </c>
      <c r="Q56" t="s">
        <v>45</v>
      </c>
      <c r="R56">
        <v>0.45</v>
      </c>
      <c r="S56">
        <v>751</v>
      </c>
      <c r="T56">
        <v>337.95</v>
      </c>
      <c r="U56">
        <v>46268.655147939811</v>
      </c>
      <c r="V56" t="s">
        <v>66</v>
      </c>
    </row>
    <row r="57" spans="1:22" x14ac:dyDescent="0.2">
      <c r="A57">
        <v>1000003835</v>
      </c>
      <c r="B57" t="s">
        <v>74</v>
      </c>
      <c r="C57">
        <v>1000001397</v>
      </c>
      <c r="D57" t="s">
        <v>75</v>
      </c>
      <c r="E57" t="s">
        <v>38</v>
      </c>
      <c r="F57">
        <v>2026</v>
      </c>
      <c r="G57">
        <v>7</v>
      </c>
      <c r="H57">
        <v>0</v>
      </c>
      <c r="I57" t="s">
        <v>39</v>
      </c>
      <c r="J57" t="s">
        <v>40</v>
      </c>
      <c r="L57" t="s">
        <v>64</v>
      </c>
      <c r="M57" t="s">
        <v>56</v>
      </c>
      <c r="O57" t="s">
        <v>67</v>
      </c>
      <c r="P57" t="s">
        <v>44</v>
      </c>
      <c r="Q57" t="s">
        <v>45</v>
      </c>
      <c r="R57">
        <v>0.3</v>
      </c>
      <c r="S57">
        <v>32</v>
      </c>
      <c r="T57">
        <v>9.6</v>
      </c>
      <c r="U57">
        <v>46268.655147939811</v>
      </c>
      <c r="V57" t="s">
        <v>58</v>
      </c>
    </row>
    <row r="58" spans="1:22" x14ac:dyDescent="0.2">
      <c r="A58">
        <v>1000003835</v>
      </c>
      <c r="B58" t="s">
        <v>74</v>
      </c>
      <c r="C58">
        <v>1000001397</v>
      </c>
      <c r="D58" t="s">
        <v>75</v>
      </c>
      <c r="E58" t="s">
        <v>38</v>
      </c>
      <c r="F58">
        <v>2026</v>
      </c>
      <c r="G58">
        <v>7</v>
      </c>
      <c r="H58">
        <v>0</v>
      </c>
      <c r="I58" t="s">
        <v>39</v>
      </c>
      <c r="J58" t="s">
        <v>40</v>
      </c>
      <c r="L58" t="s">
        <v>65</v>
      </c>
      <c r="M58" t="s">
        <v>56</v>
      </c>
      <c r="O58" t="s">
        <v>67</v>
      </c>
      <c r="P58" t="s">
        <v>44</v>
      </c>
      <c r="Q58" t="s">
        <v>45</v>
      </c>
      <c r="R58">
        <v>2.12</v>
      </c>
      <c r="S58">
        <v>540</v>
      </c>
      <c r="T58">
        <v>1144.8</v>
      </c>
      <c r="U58">
        <v>46268.655147939811</v>
      </c>
      <c r="V58" t="s">
        <v>73</v>
      </c>
    </row>
    <row r="59" spans="1:22" x14ac:dyDescent="0.2">
      <c r="A59">
        <v>1000003835</v>
      </c>
      <c r="B59" t="s">
        <v>74</v>
      </c>
      <c r="C59">
        <v>1000001397</v>
      </c>
      <c r="D59" t="s">
        <v>75</v>
      </c>
      <c r="E59" t="s">
        <v>38</v>
      </c>
      <c r="F59">
        <v>2026</v>
      </c>
      <c r="G59">
        <v>7</v>
      </c>
      <c r="H59">
        <v>0</v>
      </c>
      <c r="I59" t="s">
        <v>39</v>
      </c>
      <c r="J59" t="s">
        <v>47</v>
      </c>
      <c r="L59" t="s">
        <v>41</v>
      </c>
      <c r="M59" t="s">
        <v>56</v>
      </c>
      <c r="O59" t="s">
        <v>57</v>
      </c>
      <c r="P59" t="s">
        <v>44</v>
      </c>
      <c r="Q59" t="s">
        <v>45</v>
      </c>
      <c r="R59">
        <v>0.125</v>
      </c>
      <c r="S59">
        <v>100</v>
      </c>
      <c r="T59">
        <v>12.5</v>
      </c>
      <c r="U59">
        <v>46268.655147939811</v>
      </c>
      <c r="V59" t="s">
        <v>58</v>
      </c>
    </row>
    <row r="60" spans="1:22" x14ac:dyDescent="0.2">
      <c r="A60">
        <v>1000003835</v>
      </c>
      <c r="B60" t="s">
        <v>74</v>
      </c>
      <c r="C60">
        <v>1000001397</v>
      </c>
      <c r="D60" t="s">
        <v>75</v>
      </c>
      <c r="E60" t="s">
        <v>38</v>
      </c>
      <c r="F60">
        <v>2026</v>
      </c>
      <c r="G60">
        <v>7</v>
      </c>
      <c r="H60">
        <v>0</v>
      </c>
      <c r="I60" t="s">
        <v>39</v>
      </c>
      <c r="J60" t="s">
        <v>47</v>
      </c>
      <c r="L60" t="s">
        <v>64</v>
      </c>
      <c r="M60" t="s">
        <v>56</v>
      </c>
      <c r="O60" t="s">
        <v>57</v>
      </c>
      <c r="P60" t="s">
        <v>44</v>
      </c>
      <c r="Q60" t="s">
        <v>45</v>
      </c>
      <c r="R60">
        <v>0.52500000000000002</v>
      </c>
      <c r="S60">
        <v>33</v>
      </c>
      <c r="T60">
        <v>17.32</v>
      </c>
      <c r="U60">
        <v>46268.655147939811</v>
      </c>
      <c r="V60" t="s">
        <v>58</v>
      </c>
    </row>
    <row r="61" spans="1:22" x14ac:dyDescent="0.2">
      <c r="A61">
        <v>1000003835</v>
      </c>
      <c r="B61" t="s">
        <v>74</v>
      </c>
      <c r="C61">
        <v>1000001397</v>
      </c>
      <c r="D61" t="s">
        <v>75</v>
      </c>
      <c r="E61" t="s">
        <v>38</v>
      </c>
      <c r="F61">
        <v>2026</v>
      </c>
      <c r="G61">
        <v>7</v>
      </c>
      <c r="H61">
        <v>0</v>
      </c>
      <c r="I61" t="s">
        <v>39</v>
      </c>
      <c r="J61" t="s">
        <v>47</v>
      </c>
      <c r="L61" t="s">
        <v>65</v>
      </c>
      <c r="M61" t="s">
        <v>56</v>
      </c>
      <c r="O61" t="s">
        <v>57</v>
      </c>
      <c r="P61" t="s">
        <v>44</v>
      </c>
      <c r="Q61" t="s">
        <v>45</v>
      </c>
      <c r="R61">
        <v>4.4349999999999996</v>
      </c>
      <c r="S61">
        <v>618</v>
      </c>
      <c r="T61">
        <v>2740.83</v>
      </c>
      <c r="U61">
        <v>46268.655147939811</v>
      </c>
      <c r="V61" t="s">
        <v>58</v>
      </c>
    </row>
    <row r="62" spans="1:22" x14ac:dyDescent="0.2">
      <c r="A62">
        <v>1000003503</v>
      </c>
      <c r="B62" t="s">
        <v>76</v>
      </c>
      <c r="C62">
        <v>1000001309</v>
      </c>
      <c r="D62" t="s">
        <v>77</v>
      </c>
      <c r="E62" t="s">
        <v>38</v>
      </c>
      <c r="F62">
        <v>2026</v>
      </c>
      <c r="G62">
        <v>7</v>
      </c>
      <c r="H62">
        <v>0</v>
      </c>
      <c r="I62" t="s">
        <v>39</v>
      </c>
      <c r="J62" t="s">
        <v>40</v>
      </c>
      <c r="L62" t="s">
        <v>41</v>
      </c>
      <c r="M62" t="s">
        <v>42</v>
      </c>
      <c r="O62" t="s">
        <v>43</v>
      </c>
      <c r="P62" t="s">
        <v>44</v>
      </c>
      <c r="Q62" t="s">
        <v>45</v>
      </c>
      <c r="R62">
        <v>2.54</v>
      </c>
      <c r="S62">
        <v>16</v>
      </c>
      <c r="T62">
        <v>40.64</v>
      </c>
      <c r="U62">
        <v>46268.655147939811</v>
      </c>
      <c r="V62" t="s">
        <v>72</v>
      </c>
    </row>
    <row r="63" spans="1:22" x14ac:dyDescent="0.2">
      <c r="A63">
        <v>1000003503</v>
      </c>
      <c r="B63" t="s">
        <v>76</v>
      </c>
      <c r="C63">
        <v>1000001309</v>
      </c>
      <c r="D63" t="s">
        <v>77</v>
      </c>
      <c r="E63" t="s">
        <v>38</v>
      </c>
      <c r="F63">
        <v>2026</v>
      </c>
      <c r="G63">
        <v>7</v>
      </c>
      <c r="H63">
        <v>0</v>
      </c>
      <c r="I63" t="s">
        <v>39</v>
      </c>
      <c r="J63" t="s">
        <v>40</v>
      </c>
      <c r="L63" t="s">
        <v>64</v>
      </c>
      <c r="M63" t="s">
        <v>42</v>
      </c>
      <c r="O63" t="s">
        <v>43</v>
      </c>
      <c r="P63" t="s">
        <v>44</v>
      </c>
      <c r="Q63" t="s">
        <v>45</v>
      </c>
      <c r="R63">
        <v>2.2400000000000002</v>
      </c>
      <c r="S63">
        <v>4</v>
      </c>
      <c r="T63">
        <v>8.9600000000000009</v>
      </c>
      <c r="U63">
        <v>46268.655147939811</v>
      </c>
      <c r="V63" t="s">
        <v>72</v>
      </c>
    </row>
    <row r="64" spans="1:22" x14ac:dyDescent="0.2">
      <c r="A64">
        <v>1000003503</v>
      </c>
      <c r="B64" t="s">
        <v>76</v>
      </c>
      <c r="C64">
        <v>1000001309</v>
      </c>
      <c r="D64" t="s">
        <v>77</v>
      </c>
      <c r="E64" t="s">
        <v>38</v>
      </c>
      <c r="F64">
        <v>2026</v>
      </c>
      <c r="G64">
        <v>7</v>
      </c>
      <c r="H64">
        <v>0</v>
      </c>
      <c r="I64" t="s">
        <v>39</v>
      </c>
      <c r="J64" t="s">
        <v>40</v>
      </c>
      <c r="L64" t="s">
        <v>65</v>
      </c>
      <c r="M64" t="s">
        <v>42</v>
      </c>
      <c r="O64" t="s">
        <v>43</v>
      </c>
      <c r="P64" t="s">
        <v>44</v>
      </c>
      <c r="Q64" t="s">
        <v>45</v>
      </c>
      <c r="R64">
        <v>0.42</v>
      </c>
      <c r="S64">
        <v>21</v>
      </c>
      <c r="T64">
        <v>8.82</v>
      </c>
      <c r="U64">
        <v>46268.655147939811</v>
      </c>
      <c r="V64" t="s">
        <v>72</v>
      </c>
    </row>
    <row r="65" spans="1:22" x14ac:dyDescent="0.2">
      <c r="A65">
        <v>1000003503</v>
      </c>
      <c r="B65" t="s">
        <v>76</v>
      </c>
      <c r="C65">
        <v>1000001309</v>
      </c>
      <c r="D65" t="s">
        <v>77</v>
      </c>
      <c r="E65" t="s">
        <v>38</v>
      </c>
      <c r="F65">
        <v>2026</v>
      </c>
      <c r="G65">
        <v>7</v>
      </c>
      <c r="H65">
        <v>0</v>
      </c>
      <c r="I65" t="s">
        <v>39</v>
      </c>
      <c r="J65" t="s">
        <v>47</v>
      </c>
      <c r="L65" t="s">
        <v>41</v>
      </c>
      <c r="M65" t="s">
        <v>42</v>
      </c>
      <c r="O65" t="s">
        <v>48</v>
      </c>
      <c r="P65" t="s">
        <v>49</v>
      </c>
      <c r="Q65" t="s">
        <v>45</v>
      </c>
      <c r="R65">
        <v>4.3099999999999996</v>
      </c>
      <c r="S65">
        <v>11</v>
      </c>
      <c r="T65">
        <v>47.41</v>
      </c>
      <c r="U65">
        <v>46268.655147939811</v>
      </c>
      <c r="V65" t="s">
        <v>66</v>
      </c>
    </row>
    <row r="66" spans="1:22" x14ac:dyDescent="0.2">
      <c r="A66">
        <v>1000003503</v>
      </c>
      <c r="B66" t="s">
        <v>76</v>
      </c>
      <c r="C66">
        <v>1000001309</v>
      </c>
      <c r="D66" t="s">
        <v>77</v>
      </c>
      <c r="E66" t="s">
        <v>38</v>
      </c>
      <c r="F66">
        <v>2026</v>
      </c>
      <c r="G66">
        <v>7</v>
      </c>
      <c r="H66">
        <v>0</v>
      </c>
      <c r="I66" t="s">
        <v>39</v>
      </c>
      <c r="J66" t="s">
        <v>47</v>
      </c>
      <c r="L66" t="s">
        <v>51</v>
      </c>
      <c r="M66" t="s">
        <v>42</v>
      </c>
      <c r="O66" t="s">
        <v>48</v>
      </c>
      <c r="P66" t="s">
        <v>52</v>
      </c>
      <c r="Q66" t="s">
        <v>45</v>
      </c>
      <c r="R66">
        <v>0.09</v>
      </c>
      <c r="S66">
        <v>32</v>
      </c>
      <c r="T66">
        <v>2.88</v>
      </c>
      <c r="U66">
        <v>46268.655147939811</v>
      </c>
      <c r="V66" t="s">
        <v>53</v>
      </c>
    </row>
    <row r="67" spans="1:22" x14ac:dyDescent="0.2">
      <c r="A67">
        <v>1000003503</v>
      </c>
      <c r="B67" t="s">
        <v>76</v>
      </c>
      <c r="C67">
        <v>1000001309</v>
      </c>
      <c r="D67" t="s">
        <v>77</v>
      </c>
      <c r="E67" t="s">
        <v>38</v>
      </c>
      <c r="F67">
        <v>2026</v>
      </c>
      <c r="G67">
        <v>7</v>
      </c>
      <c r="H67">
        <v>0</v>
      </c>
      <c r="I67" t="s">
        <v>39</v>
      </c>
      <c r="J67" t="s">
        <v>47</v>
      </c>
      <c r="L67" t="s">
        <v>64</v>
      </c>
      <c r="M67" t="s">
        <v>42</v>
      </c>
      <c r="O67" t="s">
        <v>48</v>
      </c>
      <c r="P67" t="s">
        <v>49</v>
      </c>
      <c r="Q67" t="s">
        <v>45</v>
      </c>
      <c r="R67">
        <v>3.91</v>
      </c>
      <c r="S67">
        <v>7</v>
      </c>
      <c r="T67">
        <v>27.37</v>
      </c>
      <c r="U67">
        <v>46268.655147939811</v>
      </c>
      <c r="V67" t="s">
        <v>66</v>
      </c>
    </row>
    <row r="68" spans="1:22" x14ac:dyDescent="0.2">
      <c r="A68">
        <v>1000003503</v>
      </c>
      <c r="B68" t="s">
        <v>76</v>
      </c>
      <c r="C68">
        <v>1000001309</v>
      </c>
      <c r="D68" t="s">
        <v>77</v>
      </c>
      <c r="E68" t="s">
        <v>38</v>
      </c>
      <c r="F68">
        <v>2026</v>
      </c>
      <c r="G68">
        <v>7</v>
      </c>
      <c r="H68">
        <v>0</v>
      </c>
      <c r="I68" t="s">
        <v>39</v>
      </c>
      <c r="J68" t="s">
        <v>47</v>
      </c>
      <c r="L68" t="s">
        <v>54</v>
      </c>
      <c r="M68" t="s">
        <v>42</v>
      </c>
      <c r="O68" t="s">
        <v>48</v>
      </c>
      <c r="P68" t="s">
        <v>55</v>
      </c>
      <c r="Q68" t="s">
        <v>45</v>
      </c>
      <c r="R68">
        <v>0.45</v>
      </c>
      <c r="S68">
        <v>32</v>
      </c>
      <c r="T68">
        <v>14.4</v>
      </c>
      <c r="U68">
        <v>46268.655147939811</v>
      </c>
      <c r="V68" t="s">
        <v>66</v>
      </c>
    </row>
    <row r="69" spans="1:22" x14ac:dyDescent="0.2">
      <c r="A69">
        <v>1000003503</v>
      </c>
      <c r="B69" t="s">
        <v>76</v>
      </c>
      <c r="C69">
        <v>1000001309</v>
      </c>
      <c r="D69" t="s">
        <v>77</v>
      </c>
      <c r="E69" t="s">
        <v>38</v>
      </c>
      <c r="F69">
        <v>2026</v>
      </c>
      <c r="G69">
        <v>7</v>
      </c>
      <c r="H69">
        <v>0</v>
      </c>
      <c r="I69" t="s">
        <v>39</v>
      </c>
      <c r="J69" t="s">
        <v>40</v>
      </c>
      <c r="L69" t="s">
        <v>64</v>
      </c>
      <c r="M69" t="s">
        <v>56</v>
      </c>
      <c r="O69" t="s">
        <v>67</v>
      </c>
      <c r="P69" t="s">
        <v>44</v>
      </c>
      <c r="Q69" t="s">
        <v>45</v>
      </c>
      <c r="R69">
        <v>0.3</v>
      </c>
      <c r="S69">
        <v>4</v>
      </c>
      <c r="T69">
        <v>1.2</v>
      </c>
      <c r="U69">
        <v>46268.655147939811</v>
      </c>
      <c r="V69" t="s">
        <v>58</v>
      </c>
    </row>
    <row r="70" spans="1:22" x14ac:dyDescent="0.2">
      <c r="A70">
        <v>1000003503</v>
      </c>
      <c r="B70" t="s">
        <v>76</v>
      </c>
      <c r="C70">
        <v>1000001309</v>
      </c>
      <c r="D70" t="s">
        <v>77</v>
      </c>
      <c r="E70" t="s">
        <v>38</v>
      </c>
      <c r="F70">
        <v>2026</v>
      </c>
      <c r="G70">
        <v>7</v>
      </c>
      <c r="H70">
        <v>0</v>
      </c>
      <c r="I70" t="s">
        <v>39</v>
      </c>
      <c r="J70" t="s">
        <v>40</v>
      </c>
      <c r="L70" t="s">
        <v>65</v>
      </c>
      <c r="M70" t="s">
        <v>56</v>
      </c>
      <c r="O70" t="s">
        <v>67</v>
      </c>
      <c r="P70" t="s">
        <v>44</v>
      </c>
      <c r="Q70" t="s">
        <v>45</v>
      </c>
      <c r="R70">
        <v>2.12</v>
      </c>
      <c r="S70">
        <v>21</v>
      </c>
      <c r="T70">
        <v>44.52</v>
      </c>
      <c r="U70">
        <v>46268.655147939811</v>
      </c>
      <c r="V70" t="s">
        <v>73</v>
      </c>
    </row>
    <row r="71" spans="1:22" x14ac:dyDescent="0.2">
      <c r="A71">
        <v>1000003503</v>
      </c>
      <c r="B71" t="s">
        <v>76</v>
      </c>
      <c r="C71">
        <v>1000001309</v>
      </c>
      <c r="D71" t="s">
        <v>77</v>
      </c>
      <c r="E71" t="s">
        <v>38</v>
      </c>
      <c r="F71">
        <v>2026</v>
      </c>
      <c r="G71">
        <v>7</v>
      </c>
      <c r="H71">
        <v>0</v>
      </c>
      <c r="I71" t="s">
        <v>39</v>
      </c>
      <c r="J71" t="s">
        <v>47</v>
      </c>
      <c r="L71" t="s">
        <v>41</v>
      </c>
      <c r="M71" t="s">
        <v>56</v>
      </c>
      <c r="O71" t="s">
        <v>57</v>
      </c>
      <c r="P71" t="s">
        <v>44</v>
      </c>
      <c r="Q71" t="s">
        <v>45</v>
      </c>
      <c r="R71">
        <v>0.125</v>
      </c>
      <c r="S71">
        <v>11</v>
      </c>
      <c r="T71">
        <v>1.37</v>
      </c>
      <c r="U71">
        <v>46268.655147939811</v>
      </c>
      <c r="V71" t="s">
        <v>58</v>
      </c>
    </row>
    <row r="72" spans="1:22" x14ac:dyDescent="0.2">
      <c r="A72">
        <v>1000003503</v>
      </c>
      <c r="B72" t="s">
        <v>76</v>
      </c>
      <c r="C72">
        <v>1000001309</v>
      </c>
      <c r="D72" t="s">
        <v>77</v>
      </c>
      <c r="E72" t="s">
        <v>38</v>
      </c>
      <c r="F72">
        <v>2026</v>
      </c>
      <c r="G72">
        <v>7</v>
      </c>
      <c r="H72">
        <v>0</v>
      </c>
      <c r="I72" t="s">
        <v>39</v>
      </c>
      <c r="J72" t="s">
        <v>47</v>
      </c>
      <c r="L72" t="s">
        <v>64</v>
      </c>
      <c r="M72" t="s">
        <v>56</v>
      </c>
      <c r="O72" t="s">
        <v>57</v>
      </c>
      <c r="P72" t="s">
        <v>44</v>
      </c>
      <c r="Q72" t="s">
        <v>45</v>
      </c>
      <c r="R72">
        <v>0.52500000000000002</v>
      </c>
      <c r="S72">
        <v>7</v>
      </c>
      <c r="T72">
        <v>3.67</v>
      </c>
      <c r="U72">
        <v>46268.655147939811</v>
      </c>
      <c r="V72" t="s">
        <v>58</v>
      </c>
    </row>
    <row r="73" spans="1:22" x14ac:dyDescent="0.2">
      <c r="A73">
        <v>1000003503</v>
      </c>
      <c r="B73" t="s">
        <v>76</v>
      </c>
      <c r="C73">
        <v>1000001309</v>
      </c>
      <c r="D73" t="s">
        <v>77</v>
      </c>
      <c r="E73" t="s">
        <v>38</v>
      </c>
      <c r="F73">
        <v>2026</v>
      </c>
      <c r="G73">
        <v>7</v>
      </c>
      <c r="H73">
        <v>0</v>
      </c>
      <c r="I73" t="s">
        <v>39</v>
      </c>
      <c r="J73" t="s">
        <v>47</v>
      </c>
      <c r="L73" t="s">
        <v>65</v>
      </c>
      <c r="M73" t="s">
        <v>56</v>
      </c>
      <c r="O73" t="s">
        <v>57</v>
      </c>
      <c r="P73" t="s">
        <v>44</v>
      </c>
      <c r="Q73" t="s">
        <v>45</v>
      </c>
      <c r="R73">
        <v>4.4349999999999996</v>
      </c>
      <c r="S73">
        <v>14</v>
      </c>
      <c r="T73">
        <v>62.09</v>
      </c>
      <c r="U73">
        <v>46268.655147939811</v>
      </c>
      <c r="V73" t="s">
        <v>58</v>
      </c>
    </row>
    <row r="74" spans="1:22" x14ac:dyDescent="0.2">
      <c r="A74">
        <v>1000003503</v>
      </c>
      <c r="B74" t="s">
        <v>76</v>
      </c>
      <c r="C74">
        <v>1000001314</v>
      </c>
      <c r="D74" t="s">
        <v>78</v>
      </c>
      <c r="E74" t="s">
        <v>38</v>
      </c>
      <c r="F74">
        <v>2026</v>
      </c>
      <c r="G74">
        <v>7</v>
      </c>
      <c r="H74">
        <v>0</v>
      </c>
      <c r="I74" t="s">
        <v>39</v>
      </c>
      <c r="J74" t="s">
        <v>40</v>
      </c>
      <c r="L74" t="s">
        <v>41</v>
      </c>
      <c r="M74" t="s">
        <v>42</v>
      </c>
      <c r="O74" t="s">
        <v>43</v>
      </c>
      <c r="P74" t="s">
        <v>44</v>
      </c>
      <c r="Q74" t="s">
        <v>45</v>
      </c>
      <c r="R74">
        <v>3.05</v>
      </c>
      <c r="S74">
        <v>86</v>
      </c>
      <c r="T74">
        <v>262.3</v>
      </c>
      <c r="U74">
        <v>46268.655147939811</v>
      </c>
      <c r="V74" t="s">
        <v>46</v>
      </c>
    </row>
    <row r="75" spans="1:22" x14ac:dyDescent="0.2">
      <c r="A75">
        <v>1000003503</v>
      </c>
      <c r="B75" t="s">
        <v>76</v>
      </c>
      <c r="C75">
        <v>1000001314</v>
      </c>
      <c r="D75" t="s">
        <v>78</v>
      </c>
      <c r="E75" t="s">
        <v>38</v>
      </c>
      <c r="F75">
        <v>2026</v>
      </c>
      <c r="G75">
        <v>7</v>
      </c>
      <c r="H75">
        <v>0</v>
      </c>
      <c r="I75" t="s">
        <v>39</v>
      </c>
      <c r="J75" t="s">
        <v>40</v>
      </c>
      <c r="L75" t="s">
        <v>64</v>
      </c>
      <c r="M75" t="s">
        <v>42</v>
      </c>
      <c r="O75" t="s">
        <v>43</v>
      </c>
      <c r="P75" t="s">
        <v>44</v>
      </c>
      <c r="Q75" t="s">
        <v>45</v>
      </c>
      <c r="R75">
        <v>2.75</v>
      </c>
      <c r="S75">
        <v>10</v>
      </c>
      <c r="T75">
        <v>27.5</v>
      </c>
      <c r="U75">
        <v>46268.655147939811</v>
      </c>
      <c r="V75" t="s">
        <v>46</v>
      </c>
    </row>
    <row r="76" spans="1:22" x14ac:dyDescent="0.2">
      <c r="A76">
        <v>1000003503</v>
      </c>
      <c r="B76" t="s">
        <v>76</v>
      </c>
      <c r="C76">
        <v>1000001314</v>
      </c>
      <c r="D76" t="s">
        <v>78</v>
      </c>
      <c r="E76" t="s">
        <v>38</v>
      </c>
      <c r="F76">
        <v>2026</v>
      </c>
      <c r="G76">
        <v>7</v>
      </c>
      <c r="H76">
        <v>0</v>
      </c>
      <c r="I76" t="s">
        <v>39</v>
      </c>
      <c r="J76" t="s">
        <v>40</v>
      </c>
      <c r="L76" t="s">
        <v>65</v>
      </c>
      <c r="M76" t="s">
        <v>42</v>
      </c>
      <c r="O76" t="s">
        <v>43</v>
      </c>
      <c r="P76" t="s">
        <v>44</v>
      </c>
      <c r="Q76" t="s">
        <v>45</v>
      </c>
      <c r="R76">
        <v>0.42</v>
      </c>
      <c r="S76">
        <v>313</v>
      </c>
      <c r="T76">
        <v>131.46</v>
      </c>
      <c r="U76">
        <v>46268.655147939811</v>
      </c>
      <c r="V76" t="s">
        <v>46</v>
      </c>
    </row>
    <row r="77" spans="1:22" x14ac:dyDescent="0.2">
      <c r="A77">
        <v>1000003503</v>
      </c>
      <c r="B77" t="s">
        <v>76</v>
      </c>
      <c r="C77">
        <v>1000001314</v>
      </c>
      <c r="D77" t="s">
        <v>78</v>
      </c>
      <c r="E77" t="s">
        <v>38</v>
      </c>
      <c r="F77">
        <v>2026</v>
      </c>
      <c r="G77">
        <v>7</v>
      </c>
      <c r="H77">
        <v>0</v>
      </c>
      <c r="I77" t="s">
        <v>39</v>
      </c>
      <c r="J77" t="s">
        <v>47</v>
      </c>
      <c r="L77" t="s">
        <v>41</v>
      </c>
      <c r="M77" t="s">
        <v>42</v>
      </c>
      <c r="O77" t="s">
        <v>48</v>
      </c>
      <c r="P77" t="s">
        <v>49</v>
      </c>
      <c r="Q77" t="s">
        <v>45</v>
      </c>
      <c r="R77">
        <v>4.3099999999999996</v>
      </c>
      <c r="S77">
        <v>117</v>
      </c>
      <c r="T77">
        <v>504.27</v>
      </c>
      <c r="U77">
        <v>46268.655147939811</v>
      </c>
      <c r="V77" t="s">
        <v>66</v>
      </c>
    </row>
    <row r="78" spans="1:22" x14ac:dyDescent="0.2">
      <c r="A78">
        <v>1000003503</v>
      </c>
      <c r="B78" t="s">
        <v>76</v>
      </c>
      <c r="C78">
        <v>1000001314</v>
      </c>
      <c r="D78" t="s">
        <v>78</v>
      </c>
      <c r="E78" t="s">
        <v>38</v>
      </c>
      <c r="F78">
        <v>2026</v>
      </c>
      <c r="G78">
        <v>7</v>
      </c>
      <c r="H78">
        <v>0</v>
      </c>
      <c r="I78" t="s">
        <v>39</v>
      </c>
      <c r="J78" t="s">
        <v>47</v>
      </c>
      <c r="L78" t="s">
        <v>51</v>
      </c>
      <c r="M78" t="s">
        <v>42</v>
      </c>
      <c r="O78" t="s">
        <v>48</v>
      </c>
      <c r="P78" t="s">
        <v>52</v>
      </c>
      <c r="Q78" t="s">
        <v>45</v>
      </c>
      <c r="R78">
        <v>0.09</v>
      </c>
      <c r="S78">
        <v>490</v>
      </c>
      <c r="T78">
        <v>44.1</v>
      </c>
      <c r="U78">
        <v>46268.655147939811</v>
      </c>
      <c r="V78" t="s">
        <v>53</v>
      </c>
    </row>
    <row r="79" spans="1:22" x14ac:dyDescent="0.2">
      <c r="A79">
        <v>1000003503</v>
      </c>
      <c r="B79" t="s">
        <v>76</v>
      </c>
      <c r="C79">
        <v>1000001314</v>
      </c>
      <c r="D79" t="s">
        <v>78</v>
      </c>
      <c r="E79" t="s">
        <v>38</v>
      </c>
      <c r="F79">
        <v>2026</v>
      </c>
      <c r="G79">
        <v>7</v>
      </c>
      <c r="H79">
        <v>0</v>
      </c>
      <c r="I79" t="s">
        <v>39</v>
      </c>
      <c r="J79" t="s">
        <v>47</v>
      </c>
      <c r="L79" t="s">
        <v>64</v>
      </c>
      <c r="M79" t="s">
        <v>42</v>
      </c>
      <c r="O79" t="s">
        <v>48</v>
      </c>
      <c r="P79" t="s">
        <v>49</v>
      </c>
      <c r="Q79" t="s">
        <v>45</v>
      </c>
      <c r="R79">
        <v>3.91</v>
      </c>
      <c r="S79">
        <v>17</v>
      </c>
      <c r="T79">
        <v>66.47</v>
      </c>
      <c r="U79">
        <v>46268.655147939811</v>
      </c>
      <c r="V79" t="s">
        <v>66</v>
      </c>
    </row>
    <row r="80" spans="1:22" x14ac:dyDescent="0.2">
      <c r="A80">
        <v>1000003503</v>
      </c>
      <c r="B80" t="s">
        <v>76</v>
      </c>
      <c r="C80">
        <v>1000001314</v>
      </c>
      <c r="D80" t="s">
        <v>78</v>
      </c>
      <c r="E80" t="s">
        <v>38</v>
      </c>
      <c r="F80">
        <v>2026</v>
      </c>
      <c r="G80">
        <v>7</v>
      </c>
      <c r="H80">
        <v>0</v>
      </c>
      <c r="I80" t="s">
        <v>39</v>
      </c>
      <c r="J80" t="s">
        <v>47</v>
      </c>
      <c r="L80" t="s">
        <v>54</v>
      </c>
      <c r="M80" t="s">
        <v>42</v>
      </c>
      <c r="O80" t="s">
        <v>48</v>
      </c>
      <c r="P80" t="s">
        <v>55</v>
      </c>
      <c r="Q80" t="s">
        <v>45</v>
      </c>
      <c r="R80">
        <v>0.45</v>
      </c>
      <c r="S80">
        <v>490</v>
      </c>
      <c r="T80">
        <v>220.5</v>
      </c>
      <c r="U80">
        <v>46268.655147939811</v>
      </c>
      <c r="V80" t="s">
        <v>66</v>
      </c>
    </row>
    <row r="81" spans="1:22" x14ac:dyDescent="0.2">
      <c r="A81">
        <v>1000003503</v>
      </c>
      <c r="B81" t="s">
        <v>76</v>
      </c>
      <c r="C81">
        <v>1000001314</v>
      </c>
      <c r="D81" t="s">
        <v>78</v>
      </c>
      <c r="E81" t="s">
        <v>38</v>
      </c>
      <c r="F81">
        <v>2026</v>
      </c>
      <c r="G81">
        <v>7</v>
      </c>
      <c r="H81">
        <v>0</v>
      </c>
      <c r="I81" t="s">
        <v>39</v>
      </c>
      <c r="J81" t="s">
        <v>40</v>
      </c>
      <c r="L81" t="s">
        <v>64</v>
      </c>
      <c r="M81" t="s">
        <v>56</v>
      </c>
      <c r="O81" t="s">
        <v>67</v>
      </c>
      <c r="P81" t="s">
        <v>44</v>
      </c>
      <c r="Q81" t="s">
        <v>45</v>
      </c>
      <c r="R81">
        <v>0.3</v>
      </c>
      <c r="S81">
        <v>10</v>
      </c>
      <c r="T81">
        <v>3</v>
      </c>
      <c r="U81">
        <v>46268.655147939811</v>
      </c>
      <c r="V81" t="s">
        <v>58</v>
      </c>
    </row>
    <row r="82" spans="1:22" x14ac:dyDescent="0.2">
      <c r="A82">
        <v>1000003503</v>
      </c>
      <c r="B82" t="s">
        <v>76</v>
      </c>
      <c r="C82">
        <v>1000001314</v>
      </c>
      <c r="D82" t="s">
        <v>78</v>
      </c>
      <c r="E82" t="s">
        <v>38</v>
      </c>
      <c r="F82">
        <v>2026</v>
      </c>
      <c r="G82">
        <v>7</v>
      </c>
      <c r="H82">
        <v>0</v>
      </c>
      <c r="I82" t="s">
        <v>39</v>
      </c>
      <c r="J82" t="s">
        <v>40</v>
      </c>
      <c r="L82" t="s">
        <v>65</v>
      </c>
      <c r="M82" t="s">
        <v>56</v>
      </c>
      <c r="O82" t="s">
        <v>67</v>
      </c>
      <c r="P82" t="s">
        <v>44</v>
      </c>
      <c r="Q82" t="s">
        <v>45</v>
      </c>
      <c r="R82">
        <v>2.63</v>
      </c>
      <c r="S82">
        <v>313</v>
      </c>
      <c r="T82">
        <v>823.19</v>
      </c>
      <c r="U82">
        <v>46268.655147939811</v>
      </c>
      <c r="V82" t="s">
        <v>68</v>
      </c>
    </row>
    <row r="83" spans="1:22" x14ac:dyDescent="0.2">
      <c r="A83">
        <v>1000003503</v>
      </c>
      <c r="B83" t="s">
        <v>76</v>
      </c>
      <c r="C83">
        <v>1000001314</v>
      </c>
      <c r="D83" t="s">
        <v>78</v>
      </c>
      <c r="E83" t="s">
        <v>38</v>
      </c>
      <c r="F83">
        <v>2026</v>
      </c>
      <c r="G83">
        <v>7</v>
      </c>
      <c r="H83">
        <v>0</v>
      </c>
      <c r="I83" t="s">
        <v>39</v>
      </c>
      <c r="J83" t="s">
        <v>47</v>
      </c>
      <c r="L83" t="s">
        <v>41</v>
      </c>
      <c r="M83" t="s">
        <v>56</v>
      </c>
      <c r="O83" t="s">
        <v>57</v>
      </c>
      <c r="P83" t="s">
        <v>44</v>
      </c>
      <c r="Q83" t="s">
        <v>45</v>
      </c>
      <c r="R83">
        <v>0.125</v>
      </c>
      <c r="S83">
        <v>117</v>
      </c>
      <c r="T83">
        <v>14.62</v>
      </c>
      <c r="U83">
        <v>46268.655147939811</v>
      </c>
      <c r="V83" t="s">
        <v>58</v>
      </c>
    </row>
    <row r="84" spans="1:22" x14ac:dyDescent="0.2">
      <c r="A84">
        <v>1000003503</v>
      </c>
      <c r="B84" t="s">
        <v>76</v>
      </c>
      <c r="C84">
        <v>1000001314</v>
      </c>
      <c r="D84" t="s">
        <v>78</v>
      </c>
      <c r="E84" t="s">
        <v>38</v>
      </c>
      <c r="F84">
        <v>2026</v>
      </c>
      <c r="G84">
        <v>7</v>
      </c>
      <c r="H84">
        <v>0</v>
      </c>
      <c r="I84" t="s">
        <v>39</v>
      </c>
      <c r="J84" t="s">
        <v>47</v>
      </c>
      <c r="L84" t="s">
        <v>64</v>
      </c>
      <c r="M84" t="s">
        <v>56</v>
      </c>
      <c r="O84" t="s">
        <v>57</v>
      </c>
      <c r="P84" t="s">
        <v>44</v>
      </c>
      <c r="Q84" t="s">
        <v>45</v>
      </c>
      <c r="R84">
        <v>0.52500000000000002</v>
      </c>
      <c r="S84">
        <v>17</v>
      </c>
      <c r="T84">
        <v>8.92</v>
      </c>
      <c r="U84">
        <v>46268.655147939811</v>
      </c>
      <c r="V84" t="s">
        <v>58</v>
      </c>
    </row>
    <row r="85" spans="1:22" x14ac:dyDescent="0.2">
      <c r="A85">
        <v>1000003503</v>
      </c>
      <c r="B85" t="s">
        <v>76</v>
      </c>
      <c r="C85">
        <v>1000001314</v>
      </c>
      <c r="D85" t="s">
        <v>78</v>
      </c>
      <c r="E85" t="s">
        <v>38</v>
      </c>
      <c r="F85">
        <v>2026</v>
      </c>
      <c r="G85">
        <v>7</v>
      </c>
      <c r="H85">
        <v>0</v>
      </c>
      <c r="I85" t="s">
        <v>39</v>
      </c>
      <c r="J85" t="s">
        <v>47</v>
      </c>
      <c r="L85" t="s">
        <v>65</v>
      </c>
      <c r="M85" t="s">
        <v>56</v>
      </c>
      <c r="O85" t="s">
        <v>57</v>
      </c>
      <c r="P85" t="s">
        <v>44</v>
      </c>
      <c r="Q85" t="s">
        <v>45</v>
      </c>
      <c r="R85">
        <v>4.4349999999999996</v>
      </c>
      <c r="S85">
        <v>356</v>
      </c>
      <c r="T85">
        <v>1578.86</v>
      </c>
      <c r="U85">
        <v>46268.655147939811</v>
      </c>
      <c r="V85" t="s">
        <v>58</v>
      </c>
    </row>
    <row r="86" spans="1:22" x14ac:dyDescent="0.2">
      <c r="A86">
        <v>1000003838</v>
      </c>
      <c r="B86" t="s">
        <v>79</v>
      </c>
      <c r="C86">
        <v>9000016559</v>
      </c>
      <c r="D86" t="s">
        <v>80</v>
      </c>
      <c r="E86" t="s">
        <v>38</v>
      </c>
      <c r="F86">
        <v>2026</v>
      </c>
      <c r="G86">
        <v>7</v>
      </c>
      <c r="H86">
        <v>0</v>
      </c>
      <c r="I86" t="s">
        <v>39</v>
      </c>
      <c r="J86" t="s">
        <v>40</v>
      </c>
      <c r="L86" t="s">
        <v>41</v>
      </c>
      <c r="M86" t="s">
        <v>42</v>
      </c>
      <c r="O86" t="s">
        <v>43</v>
      </c>
      <c r="P86" t="s">
        <v>44</v>
      </c>
      <c r="Q86" t="s">
        <v>45</v>
      </c>
      <c r="R86">
        <v>2.54</v>
      </c>
      <c r="S86">
        <v>843</v>
      </c>
      <c r="T86">
        <v>2141.2199999999998</v>
      </c>
      <c r="U86">
        <v>46268.655147939811</v>
      </c>
      <c r="V86" t="s">
        <v>72</v>
      </c>
    </row>
    <row r="87" spans="1:22" x14ac:dyDescent="0.2">
      <c r="A87">
        <v>1000003838</v>
      </c>
      <c r="B87" t="s">
        <v>79</v>
      </c>
      <c r="C87">
        <v>9000016559</v>
      </c>
      <c r="D87" t="s">
        <v>80</v>
      </c>
      <c r="E87" t="s">
        <v>38</v>
      </c>
      <c r="F87">
        <v>2026</v>
      </c>
      <c r="G87">
        <v>7</v>
      </c>
      <c r="H87">
        <v>0</v>
      </c>
      <c r="I87" t="s">
        <v>39</v>
      </c>
      <c r="J87" t="s">
        <v>40</v>
      </c>
      <c r="L87" t="s">
        <v>64</v>
      </c>
      <c r="M87" t="s">
        <v>42</v>
      </c>
      <c r="O87" t="s">
        <v>43</v>
      </c>
      <c r="P87" t="s">
        <v>44</v>
      </c>
      <c r="Q87" t="s">
        <v>45</v>
      </c>
      <c r="R87">
        <v>2.2400000000000002</v>
      </c>
      <c r="S87">
        <v>110</v>
      </c>
      <c r="T87">
        <v>246.4</v>
      </c>
      <c r="U87">
        <v>46268.655147939811</v>
      </c>
      <c r="V87" t="s">
        <v>72</v>
      </c>
    </row>
    <row r="88" spans="1:22" x14ac:dyDescent="0.2">
      <c r="A88">
        <v>1000003838</v>
      </c>
      <c r="B88" t="s">
        <v>79</v>
      </c>
      <c r="C88">
        <v>9000016559</v>
      </c>
      <c r="D88" t="s">
        <v>80</v>
      </c>
      <c r="E88" t="s">
        <v>38</v>
      </c>
      <c r="F88">
        <v>2026</v>
      </c>
      <c r="G88">
        <v>7</v>
      </c>
      <c r="H88">
        <v>0</v>
      </c>
      <c r="I88" t="s">
        <v>39</v>
      </c>
      <c r="J88" t="s">
        <v>40</v>
      </c>
      <c r="L88" t="s">
        <v>65</v>
      </c>
      <c r="M88" t="s">
        <v>42</v>
      </c>
      <c r="O88" t="s">
        <v>43</v>
      </c>
      <c r="P88" t="s">
        <v>44</v>
      </c>
      <c r="Q88" t="s">
        <v>45</v>
      </c>
      <c r="R88">
        <v>0.42</v>
      </c>
      <c r="S88">
        <v>821</v>
      </c>
      <c r="T88">
        <v>344.82</v>
      </c>
      <c r="U88">
        <v>46268.655147939811</v>
      </c>
      <c r="V88" t="s">
        <v>72</v>
      </c>
    </row>
    <row r="89" spans="1:22" x14ac:dyDescent="0.2">
      <c r="A89">
        <v>1000003838</v>
      </c>
      <c r="B89" t="s">
        <v>79</v>
      </c>
      <c r="C89">
        <v>9000016559</v>
      </c>
      <c r="D89" t="s">
        <v>80</v>
      </c>
      <c r="E89" t="s">
        <v>38</v>
      </c>
      <c r="F89">
        <v>2026</v>
      </c>
      <c r="G89">
        <v>7</v>
      </c>
      <c r="H89">
        <v>0</v>
      </c>
      <c r="I89" t="s">
        <v>39</v>
      </c>
      <c r="J89" t="s">
        <v>47</v>
      </c>
      <c r="L89" t="s">
        <v>41</v>
      </c>
      <c r="M89" t="s">
        <v>42</v>
      </c>
      <c r="O89" t="s">
        <v>48</v>
      </c>
      <c r="P89" t="s">
        <v>49</v>
      </c>
      <c r="Q89" t="s">
        <v>45</v>
      </c>
      <c r="R89">
        <v>4.3099999999999996</v>
      </c>
      <c r="S89">
        <v>1182</v>
      </c>
      <c r="T89">
        <v>5094.42</v>
      </c>
      <c r="U89">
        <v>46268.655147939811</v>
      </c>
      <c r="V89" t="s">
        <v>66</v>
      </c>
    </row>
    <row r="90" spans="1:22" x14ac:dyDescent="0.2">
      <c r="A90">
        <v>1000003838</v>
      </c>
      <c r="B90" t="s">
        <v>79</v>
      </c>
      <c r="C90">
        <v>9000016559</v>
      </c>
      <c r="D90" t="s">
        <v>80</v>
      </c>
      <c r="E90" t="s">
        <v>38</v>
      </c>
      <c r="F90">
        <v>2026</v>
      </c>
      <c r="G90">
        <v>7</v>
      </c>
      <c r="H90">
        <v>0</v>
      </c>
      <c r="I90" t="s">
        <v>39</v>
      </c>
      <c r="J90" t="s">
        <v>47</v>
      </c>
      <c r="L90" t="s">
        <v>51</v>
      </c>
      <c r="M90" t="s">
        <v>42</v>
      </c>
      <c r="O90" t="s">
        <v>48</v>
      </c>
      <c r="P90" t="s">
        <v>52</v>
      </c>
      <c r="Q90" t="s">
        <v>45</v>
      </c>
      <c r="R90">
        <v>0.09</v>
      </c>
      <c r="S90">
        <v>3081</v>
      </c>
      <c r="T90">
        <v>277.29000000000002</v>
      </c>
      <c r="U90">
        <v>46268.655147939811</v>
      </c>
      <c r="V90" t="s">
        <v>53</v>
      </c>
    </row>
    <row r="91" spans="1:22" x14ac:dyDescent="0.2">
      <c r="A91">
        <v>1000003838</v>
      </c>
      <c r="B91" t="s">
        <v>79</v>
      </c>
      <c r="C91">
        <v>9000016559</v>
      </c>
      <c r="D91" t="s">
        <v>80</v>
      </c>
      <c r="E91" t="s">
        <v>38</v>
      </c>
      <c r="F91">
        <v>2026</v>
      </c>
      <c r="G91">
        <v>7</v>
      </c>
      <c r="H91">
        <v>0</v>
      </c>
      <c r="I91" t="s">
        <v>39</v>
      </c>
      <c r="J91" t="s">
        <v>47</v>
      </c>
      <c r="L91" t="s">
        <v>64</v>
      </c>
      <c r="M91" t="s">
        <v>42</v>
      </c>
      <c r="O91" t="s">
        <v>48</v>
      </c>
      <c r="P91" t="s">
        <v>49</v>
      </c>
      <c r="Q91" t="s">
        <v>45</v>
      </c>
      <c r="R91">
        <v>3.91</v>
      </c>
      <c r="S91">
        <v>192</v>
      </c>
      <c r="T91">
        <v>750.72</v>
      </c>
      <c r="U91">
        <v>46268.655147939811</v>
      </c>
      <c r="V91" t="s">
        <v>66</v>
      </c>
    </row>
    <row r="92" spans="1:22" x14ac:dyDescent="0.2">
      <c r="A92">
        <v>1000003838</v>
      </c>
      <c r="B92" t="s">
        <v>79</v>
      </c>
      <c r="C92">
        <v>9000016559</v>
      </c>
      <c r="D92" t="s">
        <v>80</v>
      </c>
      <c r="E92" t="s">
        <v>38</v>
      </c>
      <c r="F92">
        <v>2026</v>
      </c>
      <c r="G92">
        <v>7</v>
      </c>
      <c r="H92">
        <v>0</v>
      </c>
      <c r="I92" t="s">
        <v>39</v>
      </c>
      <c r="J92" t="s">
        <v>47</v>
      </c>
      <c r="L92" t="s">
        <v>54</v>
      </c>
      <c r="M92" t="s">
        <v>42</v>
      </c>
      <c r="O92" t="s">
        <v>48</v>
      </c>
      <c r="P92" t="s">
        <v>55</v>
      </c>
      <c r="Q92" t="s">
        <v>45</v>
      </c>
      <c r="R92">
        <v>0.45</v>
      </c>
      <c r="S92">
        <v>3081</v>
      </c>
      <c r="T92">
        <v>1386.45</v>
      </c>
      <c r="U92">
        <v>46268.655147939811</v>
      </c>
      <c r="V92" t="s">
        <v>66</v>
      </c>
    </row>
    <row r="93" spans="1:22" x14ac:dyDescent="0.2">
      <c r="A93">
        <v>1000003838</v>
      </c>
      <c r="B93" t="s">
        <v>79</v>
      </c>
      <c r="C93">
        <v>9000016559</v>
      </c>
      <c r="D93" t="s">
        <v>80</v>
      </c>
      <c r="E93" t="s">
        <v>38</v>
      </c>
      <c r="F93">
        <v>2026</v>
      </c>
      <c r="G93">
        <v>7</v>
      </c>
      <c r="H93">
        <v>0</v>
      </c>
      <c r="I93" t="s">
        <v>39</v>
      </c>
      <c r="J93" t="s">
        <v>40</v>
      </c>
      <c r="L93" t="s">
        <v>64</v>
      </c>
      <c r="M93" t="s">
        <v>56</v>
      </c>
      <c r="O93" t="s">
        <v>67</v>
      </c>
      <c r="P93" t="s">
        <v>44</v>
      </c>
      <c r="Q93" t="s">
        <v>45</v>
      </c>
      <c r="R93">
        <v>0.3</v>
      </c>
      <c r="S93">
        <v>110</v>
      </c>
      <c r="T93">
        <v>33</v>
      </c>
      <c r="U93">
        <v>46268.655147939811</v>
      </c>
      <c r="V93" t="s">
        <v>58</v>
      </c>
    </row>
    <row r="94" spans="1:22" x14ac:dyDescent="0.2">
      <c r="A94">
        <v>1000003838</v>
      </c>
      <c r="B94" t="s">
        <v>79</v>
      </c>
      <c r="C94">
        <v>9000016559</v>
      </c>
      <c r="D94" t="s">
        <v>80</v>
      </c>
      <c r="E94" t="s">
        <v>38</v>
      </c>
      <c r="F94">
        <v>2026</v>
      </c>
      <c r="G94">
        <v>7</v>
      </c>
      <c r="H94">
        <v>0</v>
      </c>
      <c r="I94" t="s">
        <v>39</v>
      </c>
      <c r="J94" t="s">
        <v>40</v>
      </c>
      <c r="L94" t="s">
        <v>65</v>
      </c>
      <c r="M94" t="s">
        <v>56</v>
      </c>
      <c r="O94" t="s">
        <v>67</v>
      </c>
      <c r="P94" t="s">
        <v>44</v>
      </c>
      <c r="Q94" t="s">
        <v>45</v>
      </c>
      <c r="R94">
        <v>2.12</v>
      </c>
      <c r="S94">
        <v>821</v>
      </c>
      <c r="T94">
        <v>1740.52</v>
      </c>
      <c r="U94">
        <v>46268.655147939811</v>
      </c>
      <c r="V94" t="s">
        <v>73</v>
      </c>
    </row>
    <row r="95" spans="1:22" x14ac:dyDescent="0.2">
      <c r="A95">
        <v>1000003838</v>
      </c>
      <c r="B95" t="s">
        <v>79</v>
      </c>
      <c r="C95">
        <v>9000016559</v>
      </c>
      <c r="D95" t="s">
        <v>80</v>
      </c>
      <c r="E95" t="s">
        <v>38</v>
      </c>
      <c r="F95">
        <v>2026</v>
      </c>
      <c r="G95">
        <v>7</v>
      </c>
      <c r="H95">
        <v>0</v>
      </c>
      <c r="I95" t="s">
        <v>39</v>
      </c>
      <c r="J95" t="s">
        <v>47</v>
      </c>
      <c r="L95" t="s">
        <v>41</v>
      </c>
      <c r="M95" t="s">
        <v>56</v>
      </c>
      <c r="O95" t="s">
        <v>57</v>
      </c>
      <c r="P95" t="s">
        <v>44</v>
      </c>
      <c r="Q95" t="s">
        <v>45</v>
      </c>
      <c r="R95">
        <v>0.125</v>
      </c>
      <c r="S95">
        <v>1182</v>
      </c>
      <c r="T95">
        <v>147.75</v>
      </c>
      <c r="U95">
        <v>46268.655147939811</v>
      </c>
      <c r="V95" t="s">
        <v>58</v>
      </c>
    </row>
    <row r="96" spans="1:22" x14ac:dyDescent="0.2">
      <c r="A96">
        <v>1000003838</v>
      </c>
      <c r="B96" t="s">
        <v>79</v>
      </c>
      <c r="C96">
        <v>9000016559</v>
      </c>
      <c r="D96" t="s">
        <v>80</v>
      </c>
      <c r="E96" t="s">
        <v>38</v>
      </c>
      <c r="F96">
        <v>2026</v>
      </c>
      <c r="G96">
        <v>7</v>
      </c>
      <c r="H96">
        <v>0</v>
      </c>
      <c r="I96" t="s">
        <v>39</v>
      </c>
      <c r="J96" t="s">
        <v>47</v>
      </c>
      <c r="L96" t="s">
        <v>64</v>
      </c>
      <c r="M96" t="s">
        <v>56</v>
      </c>
      <c r="O96" t="s">
        <v>57</v>
      </c>
      <c r="P96" t="s">
        <v>44</v>
      </c>
      <c r="Q96" t="s">
        <v>45</v>
      </c>
      <c r="R96">
        <v>0.52500000000000002</v>
      </c>
      <c r="S96">
        <v>192</v>
      </c>
      <c r="T96">
        <v>100.8</v>
      </c>
      <c r="U96">
        <v>46268.655147939811</v>
      </c>
      <c r="V96" t="s">
        <v>58</v>
      </c>
    </row>
    <row r="97" spans="1:22" x14ac:dyDescent="0.2">
      <c r="A97">
        <v>1000003838</v>
      </c>
      <c r="B97" t="s">
        <v>79</v>
      </c>
      <c r="C97">
        <v>9000016559</v>
      </c>
      <c r="D97" t="s">
        <v>80</v>
      </c>
      <c r="E97" t="s">
        <v>38</v>
      </c>
      <c r="F97">
        <v>2026</v>
      </c>
      <c r="G97">
        <v>7</v>
      </c>
      <c r="H97">
        <v>0</v>
      </c>
      <c r="I97" t="s">
        <v>39</v>
      </c>
      <c r="J97" t="s">
        <v>47</v>
      </c>
      <c r="L97" t="s">
        <v>65</v>
      </c>
      <c r="M97" t="s">
        <v>56</v>
      </c>
      <c r="O97" t="s">
        <v>57</v>
      </c>
      <c r="P97" t="s">
        <v>44</v>
      </c>
      <c r="Q97" t="s">
        <v>45</v>
      </c>
      <c r="R97">
        <v>4.4349999999999996</v>
      </c>
      <c r="S97">
        <v>1707</v>
      </c>
      <c r="T97">
        <v>7570.54</v>
      </c>
      <c r="U97">
        <v>46268.655147939811</v>
      </c>
      <c r="V97" t="s">
        <v>58</v>
      </c>
    </row>
    <row r="98" spans="1:22" x14ac:dyDescent="0.2">
      <c r="A98">
        <v>1000003838</v>
      </c>
      <c r="B98" t="s">
        <v>79</v>
      </c>
      <c r="C98">
        <v>9000010067</v>
      </c>
      <c r="D98" t="s">
        <v>81</v>
      </c>
      <c r="E98" t="s">
        <v>38</v>
      </c>
      <c r="F98">
        <v>2026</v>
      </c>
      <c r="G98">
        <v>7</v>
      </c>
      <c r="H98">
        <v>0</v>
      </c>
      <c r="I98" t="s">
        <v>39</v>
      </c>
      <c r="J98" t="s">
        <v>40</v>
      </c>
      <c r="L98" t="s">
        <v>41</v>
      </c>
      <c r="M98" t="s">
        <v>42</v>
      </c>
      <c r="O98" t="s">
        <v>43</v>
      </c>
      <c r="P98" t="s">
        <v>44</v>
      </c>
      <c r="Q98" t="s">
        <v>45</v>
      </c>
      <c r="R98">
        <v>2.54</v>
      </c>
      <c r="S98">
        <v>281</v>
      </c>
      <c r="T98">
        <v>713.74</v>
      </c>
      <c r="U98">
        <v>46268.655147939811</v>
      </c>
      <c r="V98" t="s">
        <v>72</v>
      </c>
    </row>
    <row r="99" spans="1:22" x14ac:dyDescent="0.2">
      <c r="A99">
        <v>1000003838</v>
      </c>
      <c r="B99" t="s">
        <v>79</v>
      </c>
      <c r="C99">
        <v>9000010067</v>
      </c>
      <c r="D99" t="s">
        <v>81</v>
      </c>
      <c r="E99" t="s">
        <v>38</v>
      </c>
      <c r="F99">
        <v>2026</v>
      </c>
      <c r="G99">
        <v>7</v>
      </c>
      <c r="H99">
        <v>0</v>
      </c>
      <c r="I99" t="s">
        <v>39</v>
      </c>
      <c r="J99" t="s">
        <v>40</v>
      </c>
      <c r="L99" t="s">
        <v>64</v>
      </c>
      <c r="M99" t="s">
        <v>42</v>
      </c>
      <c r="O99" t="s">
        <v>43</v>
      </c>
      <c r="P99" t="s">
        <v>44</v>
      </c>
      <c r="Q99" t="s">
        <v>45</v>
      </c>
      <c r="R99">
        <v>2.2400000000000002</v>
      </c>
      <c r="S99">
        <v>61</v>
      </c>
      <c r="T99">
        <v>136.63999999999999</v>
      </c>
      <c r="U99">
        <v>46268.655147939811</v>
      </c>
      <c r="V99" t="s">
        <v>72</v>
      </c>
    </row>
    <row r="100" spans="1:22" x14ac:dyDescent="0.2">
      <c r="A100">
        <v>1000003838</v>
      </c>
      <c r="B100" t="s">
        <v>79</v>
      </c>
      <c r="C100">
        <v>9000010067</v>
      </c>
      <c r="D100" t="s">
        <v>81</v>
      </c>
      <c r="E100" t="s">
        <v>38</v>
      </c>
      <c r="F100">
        <v>2026</v>
      </c>
      <c r="G100">
        <v>7</v>
      </c>
      <c r="H100">
        <v>0</v>
      </c>
      <c r="I100" t="s">
        <v>39</v>
      </c>
      <c r="J100" t="s">
        <v>40</v>
      </c>
      <c r="L100" t="s">
        <v>65</v>
      </c>
      <c r="M100" t="s">
        <v>42</v>
      </c>
      <c r="O100" t="s">
        <v>43</v>
      </c>
      <c r="P100" t="s">
        <v>44</v>
      </c>
      <c r="Q100" t="s">
        <v>45</v>
      </c>
      <c r="R100">
        <v>0.42</v>
      </c>
      <c r="S100">
        <v>338</v>
      </c>
      <c r="T100">
        <v>141.96</v>
      </c>
      <c r="U100">
        <v>46268.655147939811</v>
      </c>
      <c r="V100" t="s">
        <v>72</v>
      </c>
    </row>
    <row r="101" spans="1:22" x14ac:dyDescent="0.2">
      <c r="A101">
        <v>1000003838</v>
      </c>
      <c r="B101" t="s">
        <v>79</v>
      </c>
      <c r="C101">
        <v>9000010067</v>
      </c>
      <c r="D101" t="s">
        <v>81</v>
      </c>
      <c r="E101" t="s">
        <v>38</v>
      </c>
      <c r="F101">
        <v>2026</v>
      </c>
      <c r="G101">
        <v>7</v>
      </c>
      <c r="H101">
        <v>0</v>
      </c>
      <c r="I101" t="s">
        <v>39</v>
      </c>
      <c r="J101" t="s">
        <v>47</v>
      </c>
      <c r="L101" t="s">
        <v>41</v>
      </c>
      <c r="M101" t="s">
        <v>42</v>
      </c>
      <c r="O101" t="s">
        <v>48</v>
      </c>
      <c r="P101" t="s">
        <v>49</v>
      </c>
      <c r="Q101" t="s">
        <v>45</v>
      </c>
      <c r="R101">
        <v>4.3099999999999996</v>
      </c>
      <c r="S101">
        <v>661</v>
      </c>
      <c r="T101">
        <v>2848.91</v>
      </c>
      <c r="U101">
        <v>46268.655147939811</v>
      </c>
      <c r="V101" t="s">
        <v>66</v>
      </c>
    </row>
    <row r="102" spans="1:22" x14ac:dyDescent="0.2">
      <c r="A102">
        <v>1000003838</v>
      </c>
      <c r="B102" t="s">
        <v>79</v>
      </c>
      <c r="C102">
        <v>9000010067</v>
      </c>
      <c r="D102" t="s">
        <v>81</v>
      </c>
      <c r="E102" t="s">
        <v>38</v>
      </c>
      <c r="F102">
        <v>2026</v>
      </c>
      <c r="G102">
        <v>7</v>
      </c>
      <c r="H102">
        <v>0</v>
      </c>
      <c r="I102" t="s">
        <v>39</v>
      </c>
      <c r="J102" t="s">
        <v>47</v>
      </c>
      <c r="L102" t="s">
        <v>51</v>
      </c>
      <c r="M102" t="s">
        <v>42</v>
      </c>
      <c r="O102" t="s">
        <v>48</v>
      </c>
      <c r="P102" t="s">
        <v>52</v>
      </c>
      <c r="Q102" t="s">
        <v>45</v>
      </c>
      <c r="R102">
        <v>0.09</v>
      </c>
      <c r="S102">
        <v>1764</v>
      </c>
      <c r="T102">
        <v>158.76</v>
      </c>
      <c r="U102">
        <v>46268.655147939811</v>
      </c>
      <c r="V102" t="s">
        <v>53</v>
      </c>
    </row>
    <row r="103" spans="1:22" x14ac:dyDescent="0.2">
      <c r="A103">
        <v>1000003838</v>
      </c>
      <c r="B103" t="s">
        <v>79</v>
      </c>
      <c r="C103">
        <v>9000010067</v>
      </c>
      <c r="D103" t="s">
        <v>81</v>
      </c>
      <c r="E103" t="s">
        <v>38</v>
      </c>
      <c r="F103">
        <v>2026</v>
      </c>
      <c r="G103">
        <v>7</v>
      </c>
      <c r="H103">
        <v>0</v>
      </c>
      <c r="I103" t="s">
        <v>39</v>
      </c>
      <c r="J103" t="s">
        <v>47</v>
      </c>
      <c r="L103" t="s">
        <v>64</v>
      </c>
      <c r="M103" t="s">
        <v>42</v>
      </c>
      <c r="O103" t="s">
        <v>48</v>
      </c>
      <c r="P103" t="s">
        <v>49</v>
      </c>
      <c r="Q103" t="s">
        <v>45</v>
      </c>
      <c r="R103">
        <v>3.91</v>
      </c>
      <c r="S103">
        <v>219</v>
      </c>
      <c r="T103">
        <v>856.29</v>
      </c>
      <c r="U103">
        <v>46268.655147939811</v>
      </c>
      <c r="V103" t="s">
        <v>66</v>
      </c>
    </row>
    <row r="104" spans="1:22" x14ac:dyDescent="0.2">
      <c r="A104">
        <v>1000003838</v>
      </c>
      <c r="B104" t="s">
        <v>79</v>
      </c>
      <c r="C104">
        <v>9000010067</v>
      </c>
      <c r="D104" t="s">
        <v>81</v>
      </c>
      <c r="E104" t="s">
        <v>38</v>
      </c>
      <c r="F104">
        <v>2026</v>
      </c>
      <c r="G104">
        <v>7</v>
      </c>
      <c r="H104">
        <v>0</v>
      </c>
      <c r="I104" t="s">
        <v>39</v>
      </c>
      <c r="J104" t="s">
        <v>47</v>
      </c>
      <c r="L104" t="s">
        <v>54</v>
      </c>
      <c r="M104" t="s">
        <v>42</v>
      </c>
      <c r="O104" t="s">
        <v>48</v>
      </c>
      <c r="P104" t="s">
        <v>55</v>
      </c>
      <c r="Q104" t="s">
        <v>45</v>
      </c>
      <c r="R104">
        <v>0.45</v>
      </c>
      <c r="S104">
        <v>1764</v>
      </c>
      <c r="T104">
        <v>793.8</v>
      </c>
      <c r="U104">
        <v>46268.655147939811</v>
      </c>
      <c r="V104" t="s">
        <v>66</v>
      </c>
    </row>
    <row r="105" spans="1:22" x14ac:dyDescent="0.2">
      <c r="A105">
        <v>1000003838</v>
      </c>
      <c r="B105" t="s">
        <v>79</v>
      </c>
      <c r="C105">
        <v>9000010067</v>
      </c>
      <c r="D105" t="s">
        <v>81</v>
      </c>
      <c r="E105" t="s">
        <v>38</v>
      </c>
      <c r="F105">
        <v>2026</v>
      </c>
      <c r="G105">
        <v>7</v>
      </c>
      <c r="H105">
        <v>0</v>
      </c>
      <c r="I105" t="s">
        <v>39</v>
      </c>
      <c r="J105" t="s">
        <v>40</v>
      </c>
      <c r="L105" t="s">
        <v>64</v>
      </c>
      <c r="M105" t="s">
        <v>56</v>
      </c>
      <c r="O105" t="s">
        <v>67</v>
      </c>
      <c r="P105" t="s">
        <v>44</v>
      </c>
      <c r="Q105" t="s">
        <v>45</v>
      </c>
      <c r="R105">
        <v>0.3</v>
      </c>
      <c r="S105">
        <v>61</v>
      </c>
      <c r="T105">
        <v>18.3</v>
      </c>
      <c r="U105">
        <v>46268.655147939811</v>
      </c>
      <c r="V105" t="s">
        <v>58</v>
      </c>
    </row>
    <row r="106" spans="1:22" x14ac:dyDescent="0.2">
      <c r="A106">
        <v>1000003838</v>
      </c>
      <c r="B106" t="s">
        <v>79</v>
      </c>
      <c r="C106">
        <v>9000010067</v>
      </c>
      <c r="D106" t="s">
        <v>81</v>
      </c>
      <c r="E106" t="s">
        <v>38</v>
      </c>
      <c r="F106">
        <v>2026</v>
      </c>
      <c r="G106">
        <v>7</v>
      </c>
      <c r="H106">
        <v>0</v>
      </c>
      <c r="I106" t="s">
        <v>39</v>
      </c>
      <c r="J106" t="s">
        <v>40</v>
      </c>
      <c r="L106" t="s">
        <v>65</v>
      </c>
      <c r="M106" t="s">
        <v>56</v>
      </c>
      <c r="O106" t="s">
        <v>67</v>
      </c>
      <c r="P106" t="s">
        <v>44</v>
      </c>
      <c r="Q106" t="s">
        <v>45</v>
      </c>
      <c r="R106">
        <v>2.12</v>
      </c>
      <c r="S106">
        <v>338</v>
      </c>
      <c r="T106">
        <v>716.56</v>
      </c>
      <c r="U106">
        <v>46268.655147939811</v>
      </c>
      <c r="V106" t="s">
        <v>73</v>
      </c>
    </row>
    <row r="107" spans="1:22" x14ac:dyDescent="0.2">
      <c r="A107">
        <v>1000003838</v>
      </c>
      <c r="B107" t="s">
        <v>79</v>
      </c>
      <c r="C107">
        <v>9000010067</v>
      </c>
      <c r="D107" t="s">
        <v>81</v>
      </c>
      <c r="E107" t="s">
        <v>38</v>
      </c>
      <c r="F107">
        <v>2026</v>
      </c>
      <c r="G107">
        <v>7</v>
      </c>
      <c r="H107">
        <v>0</v>
      </c>
      <c r="I107" t="s">
        <v>39</v>
      </c>
      <c r="J107" t="s">
        <v>47</v>
      </c>
      <c r="L107" t="s">
        <v>41</v>
      </c>
      <c r="M107" t="s">
        <v>56</v>
      </c>
      <c r="O107" t="s">
        <v>57</v>
      </c>
      <c r="P107" t="s">
        <v>44</v>
      </c>
      <c r="Q107" t="s">
        <v>45</v>
      </c>
      <c r="R107">
        <v>0.125</v>
      </c>
      <c r="S107">
        <v>661</v>
      </c>
      <c r="T107">
        <v>82.62</v>
      </c>
      <c r="U107">
        <v>46268.655147939811</v>
      </c>
      <c r="V107" t="s">
        <v>58</v>
      </c>
    </row>
    <row r="108" spans="1:22" x14ac:dyDescent="0.2">
      <c r="A108">
        <v>1000003838</v>
      </c>
      <c r="B108" t="s">
        <v>79</v>
      </c>
      <c r="C108">
        <v>9000010067</v>
      </c>
      <c r="D108" t="s">
        <v>81</v>
      </c>
      <c r="E108" t="s">
        <v>38</v>
      </c>
      <c r="F108">
        <v>2026</v>
      </c>
      <c r="G108">
        <v>7</v>
      </c>
      <c r="H108">
        <v>0</v>
      </c>
      <c r="I108" t="s">
        <v>39</v>
      </c>
      <c r="J108" t="s">
        <v>47</v>
      </c>
      <c r="L108" t="s">
        <v>64</v>
      </c>
      <c r="M108" t="s">
        <v>56</v>
      </c>
      <c r="O108" t="s">
        <v>57</v>
      </c>
      <c r="P108" t="s">
        <v>44</v>
      </c>
      <c r="Q108" t="s">
        <v>45</v>
      </c>
      <c r="R108">
        <v>0.52500000000000002</v>
      </c>
      <c r="S108">
        <v>219</v>
      </c>
      <c r="T108">
        <v>114.97</v>
      </c>
      <c r="U108">
        <v>46268.655147939811</v>
      </c>
      <c r="V108" t="s">
        <v>58</v>
      </c>
    </row>
    <row r="109" spans="1:22" x14ac:dyDescent="0.2">
      <c r="A109">
        <v>1000003838</v>
      </c>
      <c r="B109" t="s">
        <v>79</v>
      </c>
      <c r="C109">
        <v>9000010067</v>
      </c>
      <c r="D109" t="s">
        <v>81</v>
      </c>
      <c r="E109" t="s">
        <v>38</v>
      </c>
      <c r="F109">
        <v>2026</v>
      </c>
      <c r="G109">
        <v>7</v>
      </c>
      <c r="H109">
        <v>0</v>
      </c>
      <c r="I109" t="s">
        <v>39</v>
      </c>
      <c r="J109" t="s">
        <v>47</v>
      </c>
      <c r="L109" t="s">
        <v>65</v>
      </c>
      <c r="M109" t="s">
        <v>56</v>
      </c>
      <c r="O109" t="s">
        <v>57</v>
      </c>
      <c r="P109" t="s">
        <v>44</v>
      </c>
      <c r="Q109" t="s">
        <v>45</v>
      </c>
      <c r="R109">
        <v>4.4349999999999996</v>
      </c>
      <c r="S109">
        <v>884</v>
      </c>
      <c r="T109">
        <v>3920.54</v>
      </c>
      <c r="U109">
        <v>46268.655147939811</v>
      </c>
      <c r="V109" t="s">
        <v>58</v>
      </c>
    </row>
    <row r="110" spans="1:22" x14ac:dyDescent="0.2">
      <c r="A110">
        <v>1000003961</v>
      </c>
      <c r="B110" t="s">
        <v>82</v>
      </c>
      <c r="C110">
        <v>1000001950</v>
      </c>
      <c r="D110" t="s">
        <v>83</v>
      </c>
      <c r="E110" t="s">
        <v>38</v>
      </c>
      <c r="F110">
        <v>2026</v>
      </c>
      <c r="G110">
        <v>7</v>
      </c>
      <c r="H110">
        <v>0</v>
      </c>
      <c r="I110" t="s">
        <v>39</v>
      </c>
      <c r="J110" t="s">
        <v>40</v>
      </c>
      <c r="L110" t="s">
        <v>41</v>
      </c>
      <c r="M110" t="s">
        <v>42</v>
      </c>
      <c r="O110" t="s">
        <v>43</v>
      </c>
      <c r="P110" t="s">
        <v>44</v>
      </c>
      <c r="Q110" t="s">
        <v>45</v>
      </c>
      <c r="R110">
        <v>2.54</v>
      </c>
      <c r="S110">
        <v>248</v>
      </c>
      <c r="T110">
        <v>629.91999999999996</v>
      </c>
      <c r="U110">
        <v>46268.655147939811</v>
      </c>
      <c r="V110" t="s">
        <v>72</v>
      </c>
    </row>
    <row r="111" spans="1:22" x14ac:dyDescent="0.2">
      <c r="A111">
        <v>1000003961</v>
      </c>
      <c r="B111" t="s">
        <v>82</v>
      </c>
      <c r="C111">
        <v>1000001950</v>
      </c>
      <c r="D111" t="s">
        <v>83</v>
      </c>
      <c r="E111" t="s">
        <v>38</v>
      </c>
      <c r="F111">
        <v>2026</v>
      </c>
      <c r="G111">
        <v>7</v>
      </c>
      <c r="H111">
        <v>0</v>
      </c>
      <c r="I111" t="s">
        <v>39</v>
      </c>
      <c r="J111" t="s">
        <v>40</v>
      </c>
      <c r="L111" t="s">
        <v>64</v>
      </c>
      <c r="M111" t="s">
        <v>42</v>
      </c>
      <c r="O111" t="s">
        <v>43</v>
      </c>
      <c r="P111" t="s">
        <v>44</v>
      </c>
      <c r="Q111" t="s">
        <v>45</v>
      </c>
      <c r="R111">
        <v>2.2400000000000002</v>
      </c>
      <c r="S111">
        <v>90</v>
      </c>
      <c r="T111">
        <v>201.6</v>
      </c>
      <c r="U111">
        <v>46268.655147939811</v>
      </c>
      <c r="V111" t="s">
        <v>72</v>
      </c>
    </row>
    <row r="112" spans="1:22" x14ac:dyDescent="0.2">
      <c r="A112">
        <v>1000003961</v>
      </c>
      <c r="B112" t="s">
        <v>82</v>
      </c>
      <c r="C112">
        <v>1000001950</v>
      </c>
      <c r="D112" t="s">
        <v>83</v>
      </c>
      <c r="E112" t="s">
        <v>38</v>
      </c>
      <c r="F112">
        <v>2026</v>
      </c>
      <c r="G112">
        <v>7</v>
      </c>
      <c r="H112">
        <v>0</v>
      </c>
      <c r="I112" t="s">
        <v>39</v>
      </c>
      <c r="J112" t="s">
        <v>40</v>
      </c>
      <c r="L112" t="s">
        <v>65</v>
      </c>
      <c r="M112" t="s">
        <v>42</v>
      </c>
      <c r="O112" t="s">
        <v>43</v>
      </c>
      <c r="P112" t="s">
        <v>44</v>
      </c>
      <c r="Q112" t="s">
        <v>45</v>
      </c>
      <c r="R112">
        <v>0.42</v>
      </c>
      <c r="S112">
        <v>128</v>
      </c>
      <c r="T112">
        <v>53.76</v>
      </c>
      <c r="U112">
        <v>46268.655147939811</v>
      </c>
      <c r="V112" t="s">
        <v>72</v>
      </c>
    </row>
    <row r="113" spans="1:22" x14ac:dyDescent="0.2">
      <c r="A113">
        <v>1000003961</v>
      </c>
      <c r="B113" t="s">
        <v>82</v>
      </c>
      <c r="C113">
        <v>1000001950</v>
      </c>
      <c r="D113" t="s">
        <v>83</v>
      </c>
      <c r="E113" t="s">
        <v>38</v>
      </c>
      <c r="F113">
        <v>2026</v>
      </c>
      <c r="G113">
        <v>7</v>
      </c>
      <c r="H113">
        <v>0</v>
      </c>
      <c r="I113" t="s">
        <v>39</v>
      </c>
      <c r="J113" t="s">
        <v>47</v>
      </c>
      <c r="L113" t="s">
        <v>41</v>
      </c>
      <c r="M113" t="s">
        <v>42</v>
      </c>
      <c r="O113" t="s">
        <v>48</v>
      </c>
      <c r="P113" t="s">
        <v>49</v>
      </c>
      <c r="Q113" t="s">
        <v>45</v>
      </c>
      <c r="R113">
        <v>4.3099999999999996</v>
      </c>
      <c r="S113">
        <v>335</v>
      </c>
      <c r="T113">
        <v>1443.85</v>
      </c>
      <c r="U113">
        <v>46268.655147939811</v>
      </c>
      <c r="V113" t="s">
        <v>66</v>
      </c>
    </row>
    <row r="114" spans="1:22" x14ac:dyDescent="0.2">
      <c r="A114">
        <v>1000003961</v>
      </c>
      <c r="B114" t="s">
        <v>82</v>
      </c>
      <c r="C114">
        <v>1000001950</v>
      </c>
      <c r="D114" t="s">
        <v>83</v>
      </c>
      <c r="E114" t="s">
        <v>38</v>
      </c>
      <c r="F114">
        <v>2026</v>
      </c>
      <c r="G114">
        <v>7</v>
      </c>
      <c r="H114">
        <v>0</v>
      </c>
      <c r="I114" t="s">
        <v>39</v>
      </c>
      <c r="J114" t="s">
        <v>47</v>
      </c>
      <c r="L114" t="s">
        <v>51</v>
      </c>
      <c r="M114" t="s">
        <v>42</v>
      </c>
      <c r="O114" t="s">
        <v>48</v>
      </c>
      <c r="P114" t="s">
        <v>52</v>
      </c>
      <c r="Q114" t="s">
        <v>45</v>
      </c>
      <c r="R114">
        <v>0.09</v>
      </c>
      <c r="S114">
        <v>647</v>
      </c>
      <c r="T114">
        <v>58.23</v>
      </c>
      <c r="U114">
        <v>46268.655147939811</v>
      </c>
      <c r="V114" t="s">
        <v>53</v>
      </c>
    </row>
    <row r="115" spans="1:22" x14ac:dyDescent="0.2">
      <c r="A115">
        <v>1000003961</v>
      </c>
      <c r="B115" t="s">
        <v>82</v>
      </c>
      <c r="C115">
        <v>1000001950</v>
      </c>
      <c r="D115" t="s">
        <v>83</v>
      </c>
      <c r="E115" t="s">
        <v>38</v>
      </c>
      <c r="F115">
        <v>2026</v>
      </c>
      <c r="G115">
        <v>7</v>
      </c>
      <c r="H115">
        <v>0</v>
      </c>
      <c r="I115" t="s">
        <v>39</v>
      </c>
      <c r="J115" t="s">
        <v>47</v>
      </c>
      <c r="L115" t="s">
        <v>64</v>
      </c>
      <c r="M115" t="s">
        <v>42</v>
      </c>
      <c r="O115" t="s">
        <v>48</v>
      </c>
      <c r="P115" t="s">
        <v>49</v>
      </c>
      <c r="Q115" t="s">
        <v>45</v>
      </c>
      <c r="R115">
        <v>3.91</v>
      </c>
      <c r="S115">
        <v>88</v>
      </c>
      <c r="T115">
        <v>344.08</v>
      </c>
      <c r="U115">
        <v>46268.655147939811</v>
      </c>
      <c r="V115" t="s">
        <v>66</v>
      </c>
    </row>
    <row r="116" spans="1:22" x14ac:dyDescent="0.2">
      <c r="A116">
        <v>1000003961</v>
      </c>
      <c r="B116" t="s">
        <v>82</v>
      </c>
      <c r="C116">
        <v>1000001950</v>
      </c>
      <c r="D116" t="s">
        <v>83</v>
      </c>
      <c r="E116" t="s">
        <v>38</v>
      </c>
      <c r="F116">
        <v>2026</v>
      </c>
      <c r="G116">
        <v>7</v>
      </c>
      <c r="H116">
        <v>0</v>
      </c>
      <c r="I116" t="s">
        <v>39</v>
      </c>
      <c r="J116" t="s">
        <v>47</v>
      </c>
      <c r="L116" t="s">
        <v>54</v>
      </c>
      <c r="M116" t="s">
        <v>42</v>
      </c>
      <c r="O116" t="s">
        <v>48</v>
      </c>
      <c r="P116" t="s">
        <v>55</v>
      </c>
      <c r="Q116" t="s">
        <v>45</v>
      </c>
      <c r="R116">
        <v>0.45</v>
      </c>
      <c r="S116">
        <v>647</v>
      </c>
      <c r="T116">
        <v>291.14999999999998</v>
      </c>
      <c r="U116">
        <v>46268.655147939811</v>
      </c>
      <c r="V116" t="s">
        <v>66</v>
      </c>
    </row>
    <row r="117" spans="1:22" x14ac:dyDescent="0.2">
      <c r="A117">
        <v>1000003961</v>
      </c>
      <c r="B117" t="s">
        <v>82</v>
      </c>
      <c r="C117">
        <v>1000001950</v>
      </c>
      <c r="D117" t="s">
        <v>83</v>
      </c>
      <c r="E117" t="s">
        <v>38</v>
      </c>
      <c r="F117">
        <v>2026</v>
      </c>
      <c r="G117">
        <v>7</v>
      </c>
      <c r="H117">
        <v>0</v>
      </c>
      <c r="I117" t="s">
        <v>39</v>
      </c>
      <c r="J117" t="s">
        <v>40</v>
      </c>
      <c r="L117" t="s">
        <v>64</v>
      </c>
      <c r="M117" t="s">
        <v>56</v>
      </c>
      <c r="O117" t="s">
        <v>67</v>
      </c>
      <c r="P117" t="s">
        <v>44</v>
      </c>
      <c r="Q117" t="s">
        <v>45</v>
      </c>
      <c r="R117">
        <v>0.3</v>
      </c>
      <c r="S117">
        <v>90</v>
      </c>
      <c r="T117">
        <v>27</v>
      </c>
      <c r="U117">
        <v>46268.655147939811</v>
      </c>
      <c r="V117" t="s">
        <v>58</v>
      </c>
    </row>
    <row r="118" spans="1:22" x14ac:dyDescent="0.2">
      <c r="A118">
        <v>1000003961</v>
      </c>
      <c r="B118" t="s">
        <v>82</v>
      </c>
      <c r="C118">
        <v>1000001950</v>
      </c>
      <c r="D118" t="s">
        <v>83</v>
      </c>
      <c r="E118" t="s">
        <v>38</v>
      </c>
      <c r="F118">
        <v>2026</v>
      </c>
      <c r="G118">
        <v>7</v>
      </c>
      <c r="H118">
        <v>0</v>
      </c>
      <c r="I118" t="s">
        <v>39</v>
      </c>
      <c r="J118" t="s">
        <v>40</v>
      </c>
      <c r="L118" t="s">
        <v>65</v>
      </c>
      <c r="M118" t="s">
        <v>56</v>
      </c>
      <c r="O118" t="s">
        <v>67</v>
      </c>
      <c r="P118" t="s">
        <v>44</v>
      </c>
      <c r="Q118" t="s">
        <v>45</v>
      </c>
      <c r="R118">
        <v>2.12</v>
      </c>
      <c r="S118">
        <v>128</v>
      </c>
      <c r="T118">
        <v>271.36</v>
      </c>
      <c r="U118">
        <v>46268.655147939811</v>
      </c>
      <c r="V118" t="s">
        <v>73</v>
      </c>
    </row>
    <row r="119" spans="1:22" x14ac:dyDescent="0.2">
      <c r="A119">
        <v>1000003961</v>
      </c>
      <c r="B119" t="s">
        <v>82</v>
      </c>
      <c r="C119">
        <v>1000001950</v>
      </c>
      <c r="D119" t="s">
        <v>83</v>
      </c>
      <c r="E119" t="s">
        <v>38</v>
      </c>
      <c r="F119">
        <v>2026</v>
      </c>
      <c r="G119">
        <v>7</v>
      </c>
      <c r="H119">
        <v>0</v>
      </c>
      <c r="I119" t="s">
        <v>39</v>
      </c>
      <c r="J119" t="s">
        <v>47</v>
      </c>
      <c r="L119" t="s">
        <v>41</v>
      </c>
      <c r="M119" t="s">
        <v>56</v>
      </c>
      <c r="O119" t="s">
        <v>57</v>
      </c>
      <c r="P119" t="s">
        <v>44</v>
      </c>
      <c r="Q119" t="s">
        <v>45</v>
      </c>
      <c r="R119">
        <v>0.125</v>
      </c>
      <c r="S119">
        <v>335</v>
      </c>
      <c r="T119">
        <v>41.87</v>
      </c>
      <c r="U119">
        <v>46268.655147939811</v>
      </c>
      <c r="V119" t="s">
        <v>58</v>
      </c>
    </row>
    <row r="120" spans="1:22" x14ac:dyDescent="0.2">
      <c r="A120">
        <v>1000003961</v>
      </c>
      <c r="B120" t="s">
        <v>82</v>
      </c>
      <c r="C120">
        <v>1000001950</v>
      </c>
      <c r="D120" t="s">
        <v>83</v>
      </c>
      <c r="E120" t="s">
        <v>38</v>
      </c>
      <c r="F120">
        <v>2026</v>
      </c>
      <c r="G120">
        <v>7</v>
      </c>
      <c r="H120">
        <v>0</v>
      </c>
      <c r="I120" t="s">
        <v>39</v>
      </c>
      <c r="J120" t="s">
        <v>47</v>
      </c>
      <c r="L120" t="s">
        <v>64</v>
      </c>
      <c r="M120" t="s">
        <v>56</v>
      </c>
      <c r="O120" t="s">
        <v>57</v>
      </c>
      <c r="P120" t="s">
        <v>44</v>
      </c>
      <c r="Q120" t="s">
        <v>45</v>
      </c>
      <c r="R120">
        <v>0.52500000000000002</v>
      </c>
      <c r="S120">
        <v>88</v>
      </c>
      <c r="T120">
        <v>46.2</v>
      </c>
      <c r="U120">
        <v>46268.655147939811</v>
      </c>
      <c r="V120" t="s">
        <v>58</v>
      </c>
    </row>
    <row r="121" spans="1:22" x14ac:dyDescent="0.2">
      <c r="A121">
        <v>1000003961</v>
      </c>
      <c r="B121" t="s">
        <v>82</v>
      </c>
      <c r="C121">
        <v>1000001950</v>
      </c>
      <c r="D121" t="s">
        <v>83</v>
      </c>
      <c r="E121" t="s">
        <v>38</v>
      </c>
      <c r="F121">
        <v>2026</v>
      </c>
      <c r="G121">
        <v>7</v>
      </c>
      <c r="H121">
        <v>0</v>
      </c>
      <c r="I121" t="s">
        <v>39</v>
      </c>
      <c r="J121" t="s">
        <v>47</v>
      </c>
      <c r="L121" t="s">
        <v>65</v>
      </c>
      <c r="M121" t="s">
        <v>56</v>
      </c>
      <c r="O121" t="s">
        <v>57</v>
      </c>
      <c r="P121" t="s">
        <v>44</v>
      </c>
      <c r="Q121" t="s">
        <v>45</v>
      </c>
      <c r="R121">
        <v>4.4349999999999996</v>
      </c>
      <c r="S121">
        <v>224</v>
      </c>
      <c r="T121">
        <v>993.44</v>
      </c>
      <c r="U121">
        <v>46268.655147939811</v>
      </c>
      <c r="V121" t="s">
        <v>58</v>
      </c>
    </row>
    <row r="122" spans="1:22" x14ac:dyDescent="0.2">
      <c r="A122">
        <v>1000004768</v>
      </c>
      <c r="B122" t="s">
        <v>84</v>
      </c>
      <c r="C122">
        <v>1000004769</v>
      </c>
      <c r="D122" t="s">
        <v>85</v>
      </c>
      <c r="E122" t="s">
        <v>38</v>
      </c>
      <c r="F122">
        <v>2026</v>
      </c>
      <c r="G122">
        <v>7</v>
      </c>
      <c r="H122">
        <v>0</v>
      </c>
      <c r="I122" t="s">
        <v>39</v>
      </c>
      <c r="J122" t="s">
        <v>62</v>
      </c>
      <c r="L122" t="s">
        <v>41</v>
      </c>
      <c r="M122" t="s">
        <v>42</v>
      </c>
      <c r="O122" t="s">
        <v>48</v>
      </c>
      <c r="P122" t="s">
        <v>63</v>
      </c>
      <c r="Q122" t="s">
        <v>45</v>
      </c>
      <c r="R122">
        <v>1.3</v>
      </c>
      <c r="S122">
        <v>858</v>
      </c>
      <c r="T122">
        <v>1115.4000000000001</v>
      </c>
      <c r="U122">
        <v>46268.655147939811</v>
      </c>
      <c r="V122" t="s">
        <v>44</v>
      </c>
    </row>
    <row r="123" spans="1:22" x14ac:dyDescent="0.2">
      <c r="A123">
        <v>1000004768</v>
      </c>
      <c r="B123" t="s">
        <v>84</v>
      </c>
      <c r="C123">
        <v>1000004769</v>
      </c>
      <c r="D123" t="s">
        <v>85</v>
      </c>
      <c r="E123" t="s">
        <v>38</v>
      </c>
      <c r="F123">
        <v>2026</v>
      </c>
      <c r="G123">
        <v>7</v>
      </c>
      <c r="H123">
        <v>0</v>
      </c>
      <c r="I123" t="s">
        <v>39</v>
      </c>
      <c r="J123" t="s">
        <v>40</v>
      </c>
      <c r="L123" t="s">
        <v>41</v>
      </c>
      <c r="M123" t="s">
        <v>42</v>
      </c>
      <c r="O123" t="s">
        <v>43</v>
      </c>
      <c r="P123" t="s">
        <v>44</v>
      </c>
      <c r="Q123" t="s">
        <v>45</v>
      </c>
      <c r="R123">
        <v>3.05</v>
      </c>
      <c r="S123">
        <v>1239</v>
      </c>
      <c r="T123">
        <v>3778.95</v>
      </c>
      <c r="U123">
        <v>46268.655147939811</v>
      </c>
      <c r="V123" t="s">
        <v>46</v>
      </c>
    </row>
    <row r="124" spans="1:22" x14ac:dyDescent="0.2">
      <c r="A124">
        <v>1000004768</v>
      </c>
      <c r="B124" t="s">
        <v>84</v>
      </c>
      <c r="C124">
        <v>1000004769</v>
      </c>
      <c r="D124" t="s">
        <v>85</v>
      </c>
      <c r="E124" t="s">
        <v>38</v>
      </c>
      <c r="F124">
        <v>2026</v>
      </c>
      <c r="G124">
        <v>7</v>
      </c>
      <c r="H124">
        <v>0</v>
      </c>
      <c r="I124" t="s">
        <v>39</v>
      </c>
      <c r="J124" t="s">
        <v>47</v>
      </c>
      <c r="L124" t="s">
        <v>41</v>
      </c>
      <c r="M124" t="s">
        <v>42</v>
      </c>
      <c r="O124" t="s">
        <v>48</v>
      </c>
      <c r="P124" t="s">
        <v>49</v>
      </c>
      <c r="Q124" t="s">
        <v>45</v>
      </c>
      <c r="R124">
        <v>4.3099999999999996</v>
      </c>
      <c r="S124">
        <v>1214</v>
      </c>
      <c r="T124">
        <v>5232.34</v>
      </c>
      <c r="U124">
        <v>46268.655147939811</v>
      </c>
      <c r="V124" t="s">
        <v>50</v>
      </c>
    </row>
    <row r="125" spans="1:22" x14ac:dyDescent="0.2">
      <c r="A125">
        <v>1000004768</v>
      </c>
      <c r="B125" t="s">
        <v>84</v>
      </c>
      <c r="C125">
        <v>1000004769</v>
      </c>
      <c r="D125" t="s">
        <v>85</v>
      </c>
      <c r="E125" t="s">
        <v>38</v>
      </c>
      <c r="F125">
        <v>2026</v>
      </c>
      <c r="G125">
        <v>7</v>
      </c>
      <c r="H125">
        <v>0</v>
      </c>
      <c r="I125" t="s">
        <v>39</v>
      </c>
      <c r="J125" t="s">
        <v>47</v>
      </c>
      <c r="L125" t="s">
        <v>51</v>
      </c>
      <c r="M125" t="s">
        <v>42</v>
      </c>
      <c r="O125" t="s">
        <v>48</v>
      </c>
      <c r="P125" t="s">
        <v>52</v>
      </c>
      <c r="Q125" t="s">
        <v>45</v>
      </c>
      <c r="R125">
        <v>0.09</v>
      </c>
      <c r="S125">
        <v>1214</v>
      </c>
      <c r="T125">
        <v>109.26</v>
      </c>
      <c r="U125">
        <v>46268.655147939811</v>
      </c>
      <c r="V125" t="s">
        <v>53</v>
      </c>
    </row>
    <row r="126" spans="1:22" x14ac:dyDescent="0.2">
      <c r="A126">
        <v>1000004768</v>
      </c>
      <c r="B126" t="s">
        <v>84</v>
      </c>
      <c r="C126">
        <v>1000004769</v>
      </c>
      <c r="D126" t="s">
        <v>85</v>
      </c>
      <c r="E126" t="s">
        <v>38</v>
      </c>
      <c r="F126">
        <v>2026</v>
      </c>
      <c r="G126">
        <v>7</v>
      </c>
      <c r="H126">
        <v>0</v>
      </c>
      <c r="I126" t="s">
        <v>39</v>
      </c>
      <c r="J126" t="s">
        <v>47</v>
      </c>
      <c r="L126" t="s">
        <v>54</v>
      </c>
      <c r="M126" t="s">
        <v>42</v>
      </c>
      <c r="O126" t="s">
        <v>48</v>
      </c>
      <c r="P126" t="s">
        <v>55</v>
      </c>
      <c r="Q126" t="s">
        <v>45</v>
      </c>
      <c r="R126">
        <v>0.47</v>
      </c>
      <c r="S126">
        <v>1214</v>
      </c>
      <c r="T126">
        <v>570.58000000000004</v>
      </c>
      <c r="U126">
        <v>46268.655147939811</v>
      </c>
      <c r="V126" t="s">
        <v>50</v>
      </c>
    </row>
    <row r="127" spans="1:22" x14ac:dyDescent="0.2">
      <c r="A127">
        <v>1000004768</v>
      </c>
      <c r="B127" t="s">
        <v>84</v>
      </c>
      <c r="C127">
        <v>1000004769</v>
      </c>
      <c r="D127" t="s">
        <v>85</v>
      </c>
      <c r="E127" t="s">
        <v>38</v>
      </c>
      <c r="F127">
        <v>2026</v>
      </c>
      <c r="G127">
        <v>7</v>
      </c>
      <c r="H127">
        <v>0</v>
      </c>
      <c r="I127" t="s">
        <v>39</v>
      </c>
      <c r="J127" t="s">
        <v>47</v>
      </c>
      <c r="L127" t="s">
        <v>41</v>
      </c>
      <c r="M127" t="s">
        <v>56</v>
      </c>
      <c r="O127" t="s">
        <v>57</v>
      </c>
      <c r="P127" t="s">
        <v>44</v>
      </c>
      <c r="Q127" t="s">
        <v>45</v>
      </c>
      <c r="R127">
        <v>0.125</v>
      </c>
      <c r="S127">
        <v>1214</v>
      </c>
      <c r="T127">
        <v>151.75</v>
      </c>
      <c r="U127">
        <v>46268.655147939811</v>
      </c>
      <c r="V127" t="s">
        <v>58</v>
      </c>
    </row>
    <row r="128" spans="1:22" x14ac:dyDescent="0.2">
      <c r="A128">
        <v>1000004395</v>
      </c>
      <c r="B128" t="s">
        <v>86</v>
      </c>
      <c r="C128">
        <v>1000003270</v>
      </c>
      <c r="D128" t="s">
        <v>86</v>
      </c>
      <c r="E128" t="s">
        <v>38</v>
      </c>
      <c r="F128">
        <v>2026</v>
      </c>
      <c r="G128">
        <v>7</v>
      </c>
      <c r="H128">
        <v>0</v>
      </c>
      <c r="I128" t="s">
        <v>39</v>
      </c>
      <c r="J128" t="s">
        <v>62</v>
      </c>
      <c r="L128" t="s">
        <v>41</v>
      </c>
      <c r="M128" t="s">
        <v>42</v>
      </c>
      <c r="O128" t="s">
        <v>48</v>
      </c>
      <c r="P128" t="s">
        <v>63</v>
      </c>
      <c r="Q128" t="s">
        <v>45</v>
      </c>
      <c r="R128">
        <v>1.3</v>
      </c>
      <c r="S128">
        <v>464</v>
      </c>
      <c r="T128">
        <v>603.20000000000005</v>
      </c>
      <c r="U128">
        <v>46268.655147939811</v>
      </c>
      <c r="V128" t="s">
        <v>44</v>
      </c>
    </row>
    <row r="129" spans="1:22" x14ac:dyDescent="0.2">
      <c r="A129">
        <v>1000004395</v>
      </c>
      <c r="B129" t="s">
        <v>86</v>
      </c>
      <c r="C129">
        <v>1000003270</v>
      </c>
      <c r="D129" t="s">
        <v>86</v>
      </c>
      <c r="E129" t="s">
        <v>38</v>
      </c>
      <c r="F129">
        <v>2026</v>
      </c>
      <c r="G129">
        <v>7</v>
      </c>
      <c r="H129">
        <v>0</v>
      </c>
      <c r="I129" t="s">
        <v>39</v>
      </c>
      <c r="J129" t="s">
        <v>40</v>
      </c>
      <c r="L129" t="s">
        <v>41</v>
      </c>
      <c r="M129" t="s">
        <v>42</v>
      </c>
      <c r="O129" t="s">
        <v>43</v>
      </c>
      <c r="P129" t="s">
        <v>44</v>
      </c>
      <c r="Q129" t="s">
        <v>45</v>
      </c>
      <c r="R129">
        <v>3.05</v>
      </c>
      <c r="S129">
        <v>609</v>
      </c>
      <c r="T129">
        <v>1857.45</v>
      </c>
      <c r="U129">
        <v>46268.655147939811</v>
      </c>
      <c r="V129" t="s">
        <v>46</v>
      </c>
    </row>
    <row r="130" spans="1:22" x14ac:dyDescent="0.2">
      <c r="A130">
        <v>1000004395</v>
      </c>
      <c r="B130" t="s">
        <v>86</v>
      </c>
      <c r="C130">
        <v>1000003270</v>
      </c>
      <c r="D130" t="s">
        <v>86</v>
      </c>
      <c r="E130" t="s">
        <v>38</v>
      </c>
      <c r="F130">
        <v>2026</v>
      </c>
      <c r="G130">
        <v>7</v>
      </c>
      <c r="H130">
        <v>0</v>
      </c>
      <c r="I130" t="s">
        <v>39</v>
      </c>
      <c r="J130" t="s">
        <v>47</v>
      </c>
      <c r="L130" t="s">
        <v>41</v>
      </c>
      <c r="M130" t="s">
        <v>42</v>
      </c>
      <c r="O130" t="s">
        <v>48</v>
      </c>
      <c r="P130" t="s">
        <v>49</v>
      </c>
      <c r="Q130" t="s">
        <v>45</v>
      </c>
      <c r="R130">
        <v>4.3099999999999996</v>
      </c>
      <c r="S130">
        <v>605</v>
      </c>
      <c r="T130">
        <v>2607.5500000000002</v>
      </c>
      <c r="U130">
        <v>46268.655147939811</v>
      </c>
      <c r="V130" t="s">
        <v>50</v>
      </c>
    </row>
    <row r="131" spans="1:22" x14ac:dyDescent="0.2">
      <c r="A131">
        <v>1000004395</v>
      </c>
      <c r="B131" t="s">
        <v>86</v>
      </c>
      <c r="C131">
        <v>1000003270</v>
      </c>
      <c r="D131" t="s">
        <v>86</v>
      </c>
      <c r="E131" t="s">
        <v>38</v>
      </c>
      <c r="F131">
        <v>2026</v>
      </c>
      <c r="G131">
        <v>7</v>
      </c>
      <c r="H131">
        <v>0</v>
      </c>
      <c r="I131" t="s">
        <v>39</v>
      </c>
      <c r="J131" t="s">
        <v>47</v>
      </c>
      <c r="L131" t="s">
        <v>51</v>
      </c>
      <c r="M131" t="s">
        <v>42</v>
      </c>
      <c r="O131" t="s">
        <v>48</v>
      </c>
      <c r="P131" t="s">
        <v>52</v>
      </c>
      <c r="Q131" t="s">
        <v>45</v>
      </c>
      <c r="R131">
        <v>0.09</v>
      </c>
      <c r="S131">
        <v>605</v>
      </c>
      <c r="T131">
        <v>54.45</v>
      </c>
      <c r="U131">
        <v>46268.655147939811</v>
      </c>
      <c r="V131" t="s">
        <v>53</v>
      </c>
    </row>
    <row r="132" spans="1:22" x14ac:dyDescent="0.2">
      <c r="A132">
        <v>1000004395</v>
      </c>
      <c r="B132" t="s">
        <v>86</v>
      </c>
      <c r="C132">
        <v>1000003270</v>
      </c>
      <c r="D132" t="s">
        <v>86</v>
      </c>
      <c r="E132" t="s">
        <v>38</v>
      </c>
      <c r="F132">
        <v>2026</v>
      </c>
      <c r="G132">
        <v>7</v>
      </c>
      <c r="H132">
        <v>0</v>
      </c>
      <c r="I132" t="s">
        <v>39</v>
      </c>
      <c r="J132" t="s">
        <v>47</v>
      </c>
      <c r="L132" t="s">
        <v>54</v>
      </c>
      <c r="M132" t="s">
        <v>42</v>
      </c>
      <c r="O132" t="s">
        <v>48</v>
      </c>
      <c r="P132" t="s">
        <v>55</v>
      </c>
      <c r="Q132" t="s">
        <v>45</v>
      </c>
      <c r="R132">
        <v>0.47</v>
      </c>
      <c r="S132">
        <v>605</v>
      </c>
      <c r="T132">
        <v>284.35000000000002</v>
      </c>
      <c r="U132">
        <v>46268.655147939811</v>
      </c>
      <c r="V132" t="s">
        <v>50</v>
      </c>
    </row>
    <row r="133" spans="1:22" x14ac:dyDescent="0.2">
      <c r="A133">
        <v>1000004395</v>
      </c>
      <c r="B133" t="s">
        <v>86</v>
      </c>
      <c r="C133">
        <v>1000003270</v>
      </c>
      <c r="D133" t="s">
        <v>86</v>
      </c>
      <c r="E133" t="s">
        <v>38</v>
      </c>
      <c r="F133">
        <v>2026</v>
      </c>
      <c r="G133">
        <v>7</v>
      </c>
      <c r="H133">
        <v>0</v>
      </c>
      <c r="I133" t="s">
        <v>39</v>
      </c>
      <c r="J133" t="s">
        <v>47</v>
      </c>
      <c r="L133" t="s">
        <v>41</v>
      </c>
      <c r="M133" t="s">
        <v>56</v>
      </c>
      <c r="O133" t="s">
        <v>57</v>
      </c>
      <c r="P133" t="s">
        <v>44</v>
      </c>
      <c r="Q133" t="s">
        <v>45</v>
      </c>
      <c r="R133">
        <v>0.125</v>
      </c>
      <c r="S133">
        <v>605</v>
      </c>
      <c r="T133">
        <v>75.62</v>
      </c>
      <c r="U133">
        <v>46268.655147939811</v>
      </c>
      <c r="V133" t="s">
        <v>58</v>
      </c>
    </row>
    <row r="134" spans="1:22" x14ac:dyDescent="0.2">
      <c r="A134">
        <v>1000004368</v>
      </c>
      <c r="B134" t="s">
        <v>87</v>
      </c>
      <c r="C134">
        <v>1000003180</v>
      </c>
      <c r="D134" t="s">
        <v>88</v>
      </c>
      <c r="E134" t="s">
        <v>38</v>
      </c>
      <c r="F134">
        <v>2026</v>
      </c>
      <c r="G134">
        <v>7</v>
      </c>
      <c r="H134">
        <v>0</v>
      </c>
      <c r="I134" t="s">
        <v>39</v>
      </c>
      <c r="J134" t="s">
        <v>62</v>
      </c>
      <c r="L134" t="s">
        <v>41</v>
      </c>
      <c r="M134" t="s">
        <v>42</v>
      </c>
      <c r="O134" t="s">
        <v>48</v>
      </c>
      <c r="P134" t="s">
        <v>63</v>
      </c>
      <c r="Q134" t="s">
        <v>45</v>
      </c>
      <c r="R134">
        <v>1.3</v>
      </c>
      <c r="S134">
        <v>198</v>
      </c>
      <c r="T134">
        <v>257.39999999999998</v>
      </c>
      <c r="U134">
        <v>46268.655147939811</v>
      </c>
      <c r="V134" t="s">
        <v>44</v>
      </c>
    </row>
    <row r="135" spans="1:22" x14ac:dyDescent="0.2">
      <c r="A135">
        <v>1000004368</v>
      </c>
      <c r="B135" t="s">
        <v>87</v>
      </c>
      <c r="C135">
        <v>1000003180</v>
      </c>
      <c r="D135" t="s">
        <v>88</v>
      </c>
      <c r="E135" t="s">
        <v>38</v>
      </c>
      <c r="F135">
        <v>2026</v>
      </c>
      <c r="G135">
        <v>7</v>
      </c>
      <c r="H135">
        <v>0</v>
      </c>
      <c r="I135" t="s">
        <v>39</v>
      </c>
      <c r="J135" t="s">
        <v>40</v>
      </c>
      <c r="L135" t="s">
        <v>41</v>
      </c>
      <c r="M135" t="s">
        <v>42</v>
      </c>
      <c r="O135" t="s">
        <v>43</v>
      </c>
      <c r="P135" t="s">
        <v>44</v>
      </c>
      <c r="Q135" t="s">
        <v>45</v>
      </c>
      <c r="R135">
        <v>3.05</v>
      </c>
      <c r="S135">
        <v>439</v>
      </c>
      <c r="T135">
        <v>1338.95</v>
      </c>
      <c r="U135">
        <v>46268.655147939811</v>
      </c>
      <c r="V135" t="s">
        <v>46</v>
      </c>
    </row>
    <row r="136" spans="1:22" x14ac:dyDescent="0.2">
      <c r="A136">
        <v>1000004368</v>
      </c>
      <c r="B136" t="s">
        <v>87</v>
      </c>
      <c r="C136">
        <v>1000003180</v>
      </c>
      <c r="D136" t="s">
        <v>88</v>
      </c>
      <c r="E136" t="s">
        <v>38</v>
      </c>
      <c r="F136">
        <v>2026</v>
      </c>
      <c r="G136">
        <v>7</v>
      </c>
      <c r="H136">
        <v>0</v>
      </c>
      <c r="I136" t="s">
        <v>39</v>
      </c>
      <c r="J136" t="s">
        <v>47</v>
      </c>
      <c r="L136" t="s">
        <v>41</v>
      </c>
      <c r="M136" t="s">
        <v>42</v>
      </c>
      <c r="O136" t="s">
        <v>48</v>
      </c>
      <c r="P136" t="s">
        <v>49</v>
      </c>
      <c r="Q136" t="s">
        <v>45</v>
      </c>
      <c r="R136">
        <v>4.3099999999999996</v>
      </c>
      <c r="S136">
        <v>438</v>
      </c>
      <c r="T136">
        <v>1887.78</v>
      </c>
      <c r="U136">
        <v>46268.655147939811</v>
      </c>
      <c r="V136" t="s">
        <v>50</v>
      </c>
    </row>
    <row r="137" spans="1:22" x14ac:dyDescent="0.2">
      <c r="A137">
        <v>1000004368</v>
      </c>
      <c r="B137" t="s">
        <v>87</v>
      </c>
      <c r="C137">
        <v>1000003180</v>
      </c>
      <c r="D137" t="s">
        <v>88</v>
      </c>
      <c r="E137" t="s">
        <v>38</v>
      </c>
      <c r="F137">
        <v>2026</v>
      </c>
      <c r="G137">
        <v>7</v>
      </c>
      <c r="H137">
        <v>0</v>
      </c>
      <c r="I137" t="s">
        <v>39</v>
      </c>
      <c r="J137" t="s">
        <v>47</v>
      </c>
      <c r="L137" t="s">
        <v>51</v>
      </c>
      <c r="M137" t="s">
        <v>42</v>
      </c>
      <c r="O137" t="s">
        <v>48</v>
      </c>
      <c r="P137" t="s">
        <v>52</v>
      </c>
      <c r="Q137" t="s">
        <v>45</v>
      </c>
      <c r="R137">
        <v>0.09</v>
      </c>
      <c r="S137">
        <v>438</v>
      </c>
      <c r="T137">
        <v>39.42</v>
      </c>
      <c r="U137">
        <v>46268.655147939811</v>
      </c>
      <c r="V137" t="s">
        <v>53</v>
      </c>
    </row>
    <row r="138" spans="1:22" x14ac:dyDescent="0.2">
      <c r="A138">
        <v>1000004368</v>
      </c>
      <c r="B138" t="s">
        <v>87</v>
      </c>
      <c r="C138">
        <v>1000003180</v>
      </c>
      <c r="D138" t="s">
        <v>88</v>
      </c>
      <c r="E138" t="s">
        <v>38</v>
      </c>
      <c r="F138">
        <v>2026</v>
      </c>
      <c r="G138">
        <v>7</v>
      </c>
      <c r="H138">
        <v>0</v>
      </c>
      <c r="I138" t="s">
        <v>39</v>
      </c>
      <c r="J138" t="s">
        <v>47</v>
      </c>
      <c r="L138" t="s">
        <v>54</v>
      </c>
      <c r="M138" t="s">
        <v>42</v>
      </c>
      <c r="O138" t="s">
        <v>48</v>
      </c>
      <c r="P138" t="s">
        <v>55</v>
      </c>
      <c r="Q138" t="s">
        <v>45</v>
      </c>
      <c r="R138">
        <v>0.47</v>
      </c>
      <c r="S138">
        <v>438</v>
      </c>
      <c r="T138">
        <v>205.86</v>
      </c>
      <c r="U138">
        <v>46268.655147939811</v>
      </c>
      <c r="V138" t="s">
        <v>50</v>
      </c>
    </row>
    <row r="139" spans="1:22" x14ac:dyDescent="0.2">
      <c r="A139">
        <v>1000004368</v>
      </c>
      <c r="B139" t="s">
        <v>87</v>
      </c>
      <c r="C139">
        <v>1000003180</v>
      </c>
      <c r="D139" t="s">
        <v>88</v>
      </c>
      <c r="E139" t="s">
        <v>38</v>
      </c>
      <c r="F139">
        <v>2026</v>
      </c>
      <c r="G139">
        <v>7</v>
      </c>
      <c r="H139">
        <v>0</v>
      </c>
      <c r="I139" t="s">
        <v>39</v>
      </c>
      <c r="J139" t="s">
        <v>47</v>
      </c>
      <c r="L139" t="s">
        <v>41</v>
      </c>
      <c r="M139" t="s">
        <v>56</v>
      </c>
      <c r="O139" t="s">
        <v>57</v>
      </c>
      <c r="P139" t="s">
        <v>44</v>
      </c>
      <c r="Q139" t="s">
        <v>45</v>
      </c>
      <c r="R139">
        <v>0.125</v>
      </c>
      <c r="S139">
        <v>438</v>
      </c>
      <c r="T139">
        <v>54.75</v>
      </c>
      <c r="U139">
        <v>46268.655147939811</v>
      </c>
      <c r="V139" t="s">
        <v>58</v>
      </c>
    </row>
    <row r="140" spans="1:22" x14ac:dyDescent="0.2">
      <c r="A140">
        <v>1000003806</v>
      </c>
      <c r="B140" t="s">
        <v>89</v>
      </c>
      <c r="C140">
        <v>1000001232</v>
      </c>
      <c r="D140" t="s">
        <v>90</v>
      </c>
      <c r="E140" t="s">
        <v>38</v>
      </c>
      <c r="F140">
        <v>2026</v>
      </c>
      <c r="G140">
        <v>7</v>
      </c>
      <c r="H140">
        <v>0</v>
      </c>
      <c r="I140" t="s">
        <v>39</v>
      </c>
      <c r="J140" t="s">
        <v>40</v>
      </c>
      <c r="L140" t="s">
        <v>41</v>
      </c>
      <c r="M140" t="s">
        <v>42</v>
      </c>
      <c r="O140" t="s">
        <v>43</v>
      </c>
      <c r="P140" t="s">
        <v>44</v>
      </c>
      <c r="Q140" t="s">
        <v>45</v>
      </c>
      <c r="R140">
        <v>3.05</v>
      </c>
      <c r="S140">
        <v>10</v>
      </c>
      <c r="T140">
        <v>30.5</v>
      </c>
      <c r="U140">
        <v>46268.655147939811</v>
      </c>
      <c r="V140" t="s">
        <v>46</v>
      </c>
    </row>
    <row r="141" spans="1:22" x14ac:dyDescent="0.2">
      <c r="A141">
        <v>1000003806</v>
      </c>
      <c r="B141" t="s">
        <v>89</v>
      </c>
      <c r="C141">
        <v>1000001232</v>
      </c>
      <c r="D141" t="s">
        <v>90</v>
      </c>
      <c r="E141" t="s">
        <v>38</v>
      </c>
      <c r="F141">
        <v>2026</v>
      </c>
      <c r="G141">
        <v>7</v>
      </c>
      <c r="H141">
        <v>0</v>
      </c>
      <c r="I141" t="s">
        <v>39</v>
      </c>
      <c r="J141" t="s">
        <v>40</v>
      </c>
      <c r="L141" t="s">
        <v>64</v>
      </c>
      <c r="M141" t="s">
        <v>42</v>
      </c>
      <c r="O141" t="s">
        <v>43</v>
      </c>
      <c r="P141" t="s">
        <v>44</v>
      </c>
      <c r="Q141" t="s">
        <v>45</v>
      </c>
      <c r="R141">
        <v>2.75</v>
      </c>
      <c r="S141">
        <v>4</v>
      </c>
      <c r="T141">
        <v>11</v>
      </c>
      <c r="U141">
        <v>46268.655147939811</v>
      </c>
      <c r="V141" t="s">
        <v>46</v>
      </c>
    </row>
    <row r="142" spans="1:22" x14ac:dyDescent="0.2">
      <c r="A142">
        <v>1000003806</v>
      </c>
      <c r="B142" t="s">
        <v>89</v>
      </c>
      <c r="C142">
        <v>1000001232</v>
      </c>
      <c r="D142" t="s">
        <v>90</v>
      </c>
      <c r="E142" t="s">
        <v>38</v>
      </c>
      <c r="F142">
        <v>2026</v>
      </c>
      <c r="G142">
        <v>7</v>
      </c>
      <c r="H142">
        <v>0</v>
      </c>
      <c r="I142" t="s">
        <v>39</v>
      </c>
      <c r="J142" t="s">
        <v>40</v>
      </c>
      <c r="L142" t="s">
        <v>65</v>
      </c>
      <c r="M142" t="s">
        <v>42</v>
      </c>
      <c r="O142" t="s">
        <v>43</v>
      </c>
      <c r="P142" t="s">
        <v>44</v>
      </c>
      <c r="Q142" t="s">
        <v>45</v>
      </c>
      <c r="R142">
        <v>0.42</v>
      </c>
      <c r="S142">
        <v>2</v>
      </c>
      <c r="T142">
        <v>0.84</v>
      </c>
      <c r="U142">
        <v>46268.655147939811</v>
      </c>
      <c r="V142" t="s">
        <v>46</v>
      </c>
    </row>
    <row r="143" spans="1:22" x14ac:dyDescent="0.2">
      <c r="A143">
        <v>1000003806</v>
      </c>
      <c r="B143" t="s">
        <v>89</v>
      </c>
      <c r="C143">
        <v>1000001232</v>
      </c>
      <c r="D143" t="s">
        <v>90</v>
      </c>
      <c r="E143" t="s">
        <v>38</v>
      </c>
      <c r="F143">
        <v>2026</v>
      </c>
      <c r="G143">
        <v>7</v>
      </c>
      <c r="H143">
        <v>0</v>
      </c>
      <c r="I143" t="s">
        <v>39</v>
      </c>
      <c r="J143" t="s">
        <v>47</v>
      </c>
      <c r="L143" t="s">
        <v>41</v>
      </c>
      <c r="M143" t="s">
        <v>42</v>
      </c>
      <c r="O143" t="s">
        <v>48</v>
      </c>
      <c r="P143" t="s">
        <v>49</v>
      </c>
      <c r="Q143" t="s">
        <v>45</v>
      </c>
      <c r="R143">
        <v>4.3099999999999996</v>
      </c>
      <c r="S143">
        <v>14</v>
      </c>
      <c r="T143">
        <v>60.34</v>
      </c>
      <c r="U143">
        <v>46268.655147939811</v>
      </c>
      <c r="V143" t="s">
        <v>66</v>
      </c>
    </row>
    <row r="144" spans="1:22" x14ac:dyDescent="0.2">
      <c r="A144">
        <v>1000003806</v>
      </c>
      <c r="B144" t="s">
        <v>89</v>
      </c>
      <c r="C144">
        <v>1000001232</v>
      </c>
      <c r="D144" t="s">
        <v>90</v>
      </c>
      <c r="E144" t="s">
        <v>38</v>
      </c>
      <c r="F144">
        <v>2026</v>
      </c>
      <c r="G144">
        <v>7</v>
      </c>
      <c r="H144">
        <v>0</v>
      </c>
      <c r="I144" t="s">
        <v>39</v>
      </c>
      <c r="J144" t="s">
        <v>47</v>
      </c>
      <c r="L144" t="s">
        <v>51</v>
      </c>
      <c r="M144" t="s">
        <v>42</v>
      </c>
      <c r="O144" t="s">
        <v>48</v>
      </c>
      <c r="P144" t="s">
        <v>52</v>
      </c>
      <c r="Q144" t="s">
        <v>45</v>
      </c>
      <c r="R144">
        <v>0.09</v>
      </c>
      <c r="S144">
        <v>20</v>
      </c>
      <c r="T144">
        <v>1.8</v>
      </c>
      <c r="U144">
        <v>46268.655147939811</v>
      </c>
      <c r="V144" t="s">
        <v>53</v>
      </c>
    </row>
    <row r="145" spans="1:22" x14ac:dyDescent="0.2">
      <c r="A145">
        <v>1000003806</v>
      </c>
      <c r="B145" t="s">
        <v>89</v>
      </c>
      <c r="C145">
        <v>1000001232</v>
      </c>
      <c r="D145" t="s">
        <v>90</v>
      </c>
      <c r="E145" t="s">
        <v>38</v>
      </c>
      <c r="F145">
        <v>2026</v>
      </c>
      <c r="G145">
        <v>7</v>
      </c>
      <c r="H145">
        <v>0</v>
      </c>
      <c r="I145" t="s">
        <v>39</v>
      </c>
      <c r="J145" t="s">
        <v>47</v>
      </c>
      <c r="L145" t="s">
        <v>64</v>
      </c>
      <c r="M145" t="s">
        <v>42</v>
      </c>
      <c r="O145" t="s">
        <v>48</v>
      </c>
      <c r="P145" t="s">
        <v>49</v>
      </c>
      <c r="Q145" t="s">
        <v>45</v>
      </c>
      <c r="R145">
        <v>3.91</v>
      </c>
      <c r="S145">
        <v>4</v>
      </c>
      <c r="T145">
        <v>15.64</v>
      </c>
      <c r="U145">
        <v>46268.655147939811</v>
      </c>
      <c r="V145" t="s">
        <v>66</v>
      </c>
    </row>
    <row r="146" spans="1:22" x14ac:dyDescent="0.2">
      <c r="A146">
        <v>1000003806</v>
      </c>
      <c r="B146" t="s">
        <v>89</v>
      </c>
      <c r="C146">
        <v>1000001232</v>
      </c>
      <c r="D146" t="s">
        <v>90</v>
      </c>
      <c r="E146" t="s">
        <v>38</v>
      </c>
      <c r="F146">
        <v>2026</v>
      </c>
      <c r="G146">
        <v>7</v>
      </c>
      <c r="H146">
        <v>0</v>
      </c>
      <c r="I146" t="s">
        <v>39</v>
      </c>
      <c r="J146" t="s">
        <v>47</v>
      </c>
      <c r="L146" t="s">
        <v>54</v>
      </c>
      <c r="M146" t="s">
        <v>42</v>
      </c>
      <c r="O146" t="s">
        <v>48</v>
      </c>
      <c r="P146" t="s">
        <v>55</v>
      </c>
      <c r="Q146" t="s">
        <v>45</v>
      </c>
      <c r="R146">
        <v>0.45</v>
      </c>
      <c r="S146">
        <v>20</v>
      </c>
      <c r="T146">
        <v>9</v>
      </c>
      <c r="U146">
        <v>46268.655147939811</v>
      </c>
      <c r="V146" t="s">
        <v>66</v>
      </c>
    </row>
    <row r="147" spans="1:22" x14ac:dyDescent="0.2">
      <c r="A147">
        <v>1000003806</v>
      </c>
      <c r="B147" t="s">
        <v>89</v>
      </c>
      <c r="C147">
        <v>1000001232</v>
      </c>
      <c r="D147" t="s">
        <v>90</v>
      </c>
      <c r="E147" t="s">
        <v>38</v>
      </c>
      <c r="F147">
        <v>2026</v>
      </c>
      <c r="G147">
        <v>7</v>
      </c>
      <c r="H147">
        <v>0</v>
      </c>
      <c r="I147" t="s">
        <v>39</v>
      </c>
      <c r="J147" t="s">
        <v>40</v>
      </c>
      <c r="L147" t="s">
        <v>64</v>
      </c>
      <c r="M147" t="s">
        <v>56</v>
      </c>
      <c r="O147" t="s">
        <v>67</v>
      </c>
      <c r="P147" t="s">
        <v>44</v>
      </c>
      <c r="Q147" t="s">
        <v>45</v>
      </c>
      <c r="R147">
        <v>0.3</v>
      </c>
      <c r="S147">
        <v>4</v>
      </c>
      <c r="T147">
        <v>1.2</v>
      </c>
      <c r="U147">
        <v>46268.655147939811</v>
      </c>
      <c r="V147" t="s">
        <v>58</v>
      </c>
    </row>
    <row r="148" spans="1:22" x14ac:dyDescent="0.2">
      <c r="A148">
        <v>1000003806</v>
      </c>
      <c r="B148" t="s">
        <v>89</v>
      </c>
      <c r="C148">
        <v>1000001232</v>
      </c>
      <c r="D148" t="s">
        <v>90</v>
      </c>
      <c r="E148" t="s">
        <v>38</v>
      </c>
      <c r="F148">
        <v>2026</v>
      </c>
      <c r="G148">
        <v>7</v>
      </c>
      <c r="H148">
        <v>0</v>
      </c>
      <c r="I148" t="s">
        <v>39</v>
      </c>
      <c r="J148" t="s">
        <v>40</v>
      </c>
      <c r="L148" t="s">
        <v>65</v>
      </c>
      <c r="M148" t="s">
        <v>56</v>
      </c>
      <c r="O148" t="s">
        <v>67</v>
      </c>
      <c r="P148" t="s">
        <v>44</v>
      </c>
      <c r="Q148" t="s">
        <v>45</v>
      </c>
      <c r="R148">
        <v>2.63</v>
      </c>
      <c r="S148">
        <v>2</v>
      </c>
      <c r="T148">
        <v>5.26</v>
      </c>
      <c r="U148">
        <v>46268.655147939811</v>
      </c>
      <c r="V148" t="s">
        <v>68</v>
      </c>
    </row>
    <row r="149" spans="1:22" x14ac:dyDescent="0.2">
      <c r="A149">
        <v>1000003806</v>
      </c>
      <c r="B149" t="s">
        <v>89</v>
      </c>
      <c r="C149">
        <v>1000001232</v>
      </c>
      <c r="D149" t="s">
        <v>90</v>
      </c>
      <c r="E149" t="s">
        <v>38</v>
      </c>
      <c r="F149">
        <v>2026</v>
      </c>
      <c r="G149">
        <v>7</v>
      </c>
      <c r="H149">
        <v>0</v>
      </c>
      <c r="I149" t="s">
        <v>39</v>
      </c>
      <c r="J149" t="s">
        <v>47</v>
      </c>
      <c r="L149" t="s">
        <v>41</v>
      </c>
      <c r="M149" t="s">
        <v>56</v>
      </c>
      <c r="O149" t="s">
        <v>57</v>
      </c>
      <c r="P149" t="s">
        <v>44</v>
      </c>
      <c r="Q149" t="s">
        <v>45</v>
      </c>
      <c r="R149">
        <v>0.125</v>
      </c>
      <c r="S149">
        <v>14</v>
      </c>
      <c r="T149">
        <v>1.75</v>
      </c>
      <c r="U149">
        <v>46268.655147939811</v>
      </c>
      <c r="V149" t="s">
        <v>58</v>
      </c>
    </row>
    <row r="150" spans="1:22" x14ac:dyDescent="0.2">
      <c r="A150">
        <v>1000003806</v>
      </c>
      <c r="B150" t="s">
        <v>89</v>
      </c>
      <c r="C150">
        <v>1000001232</v>
      </c>
      <c r="D150" t="s">
        <v>90</v>
      </c>
      <c r="E150" t="s">
        <v>38</v>
      </c>
      <c r="F150">
        <v>2026</v>
      </c>
      <c r="G150">
        <v>7</v>
      </c>
      <c r="H150">
        <v>0</v>
      </c>
      <c r="I150" t="s">
        <v>39</v>
      </c>
      <c r="J150" t="s">
        <v>47</v>
      </c>
      <c r="L150" t="s">
        <v>64</v>
      </c>
      <c r="M150" t="s">
        <v>56</v>
      </c>
      <c r="O150" t="s">
        <v>57</v>
      </c>
      <c r="P150" t="s">
        <v>44</v>
      </c>
      <c r="Q150" t="s">
        <v>45</v>
      </c>
      <c r="R150">
        <v>0.52500000000000002</v>
      </c>
      <c r="S150">
        <v>4</v>
      </c>
      <c r="T150">
        <v>2.1</v>
      </c>
      <c r="U150">
        <v>46268.655147939811</v>
      </c>
      <c r="V150" t="s">
        <v>58</v>
      </c>
    </row>
    <row r="151" spans="1:22" x14ac:dyDescent="0.2">
      <c r="A151">
        <v>1000003806</v>
      </c>
      <c r="B151" t="s">
        <v>89</v>
      </c>
      <c r="C151">
        <v>1000001232</v>
      </c>
      <c r="D151" t="s">
        <v>90</v>
      </c>
      <c r="E151" t="s">
        <v>38</v>
      </c>
      <c r="F151">
        <v>2026</v>
      </c>
      <c r="G151">
        <v>7</v>
      </c>
      <c r="H151">
        <v>0</v>
      </c>
      <c r="I151" t="s">
        <v>39</v>
      </c>
      <c r="J151" t="s">
        <v>47</v>
      </c>
      <c r="L151" t="s">
        <v>65</v>
      </c>
      <c r="M151" t="s">
        <v>56</v>
      </c>
      <c r="O151" t="s">
        <v>57</v>
      </c>
      <c r="P151" t="s">
        <v>44</v>
      </c>
      <c r="Q151" t="s">
        <v>45</v>
      </c>
      <c r="R151">
        <v>4.4349999999999996</v>
      </c>
      <c r="S151">
        <v>2</v>
      </c>
      <c r="T151">
        <v>8.8699999999999992</v>
      </c>
      <c r="U151">
        <v>46268.655147939811</v>
      </c>
      <c r="V151" t="s">
        <v>58</v>
      </c>
    </row>
    <row r="152" spans="1:22" x14ac:dyDescent="0.2">
      <c r="A152">
        <v>1000003878</v>
      </c>
      <c r="B152" t="s">
        <v>91</v>
      </c>
      <c r="C152">
        <v>9000021216</v>
      </c>
      <c r="D152" t="s">
        <v>92</v>
      </c>
      <c r="E152" t="s">
        <v>38</v>
      </c>
      <c r="F152">
        <v>2026</v>
      </c>
      <c r="G152">
        <v>7</v>
      </c>
      <c r="H152">
        <v>0</v>
      </c>
      <c r="I152" t="s">
        <v>39</v>
      </c>
      <c r="J152" t="s">
        <v>40</v>
      </c>
      <c r="L152" t="s">
        <v>41</v>
      </c>
      <c r="M152" t="s">
        <v>42</v>
      </c>
      <c r="O152" t="s">
        <v>43</v>
      </c>
      <c r="P152" t="s">
        <v>44</v>
      </c>
      <c r="Q152" t="s">
        <v>45</v>
      </c>
      <c r="R152">
        <v>3.05</v>
      </c>
      <c r="S152">
        <v>42</v>
      </c>
      <c r="T152">
        <v>128.1</v>
      </c>
      <c r="U152">
        <v>46268.655147939811</v>
      </c>
      <c r="V152" t="s">
        <v>46</v>
      </c>
    </row>
    <row r="153" spans="1:22" x14ac:dyDescent="0.2">
      <c r="A153">
        <v>1000003878</v>
      </c>
      <c r="B153" t="s">
        <v>91</v>
      </c>
      <c r="C153">
        <v>9000021216</v>
      </c>
      <c r="D153" t="s">
        <v>92</v>
      </c>
      <c r="E153" t="s">
        <v>38</v>
      </c>
      <c r="F153">
        <v>2026</v>
      </c>
      <c r="G153">
        <v>7</v>
      </c>
      <c r="H153">
        <v>0</v>
      </c>
      <c r="I153" t="s">
        <v>39</v>
      </c>
      <c r="J153" t="s">
        <v>40</v>
      </c>
      <c r="L153" t="s">
        <v>64</v>
      </c>
      <c r="M153" t="s">
        <v>42</v>
      </c>
      <c r="O153" t="s">
        <v>43</v>
      </c>
      <c r="P153" t="s">
        <v>44</v>
      </c>
      <c r="Q153" t="s">
        <v>45</v>
      </c>
      <c r="R153">
        <v>2.75</v>
      </c>
      <c r="S153">
        <v>7</v>
      </c>
      <c r="T153">
        <v>19.25</v>
      </c>
      <c r="U153">
        <v>46268.655147939811</v>
      </c>
      <c r="V153" t="s">
        <v>46</v>
      </c>
    </row>
    <row r="154" spans="1:22" x14ac:dyDescent="0.2">
      <c r="A154">
        <v>1000003878</v>
      </c>
      <c r="B154" t="s">
        <v>91</v>
      </c>
      <c r="C154">
        <v>9000021216</v>
      </c>
      <c r="D154" t="s">
        <v>92</v>
      </c>
      <c r="E154" t="s">
        <v>38</v>
      </c>
      <c r="F154">
        <v>2026</v>
      </c>
      <c r="G154">
        <v>7</v>
      </c>
      <c r="H154">
        <v>0</v>
      </c>
      <c r="I154" t="s">
        <v>39</v>
      </c>
      <c r="J154" t="s">
        <v>40</v>
      </c>
      <c r="L154" t="s">
        <v>65</v>
      </c>
      <c r="M154" t="s">
        <v>42</v>
      </c>
      <c r="O154" t="s">
        <v>43</v>
      </c>
      <c r="P154" t="s">
        <v>44</v>
      </c>
      <c r="Q154" t="s">
        <v>45</v>
      </c>
      <c r="R154">
        <v>0.42</v>
      </c>
      <c r="S154">
        <v>19</v>
      </c>
      <c r="T154">
        <v>7.98</v>
      </c>
      <c r="U154">
        <v>46268.655147939811</v>
      </c>
      <c r="V154" t="s">
        <v>46</v>
      </c>
    </row>
    <row r="155" spans="1:22" x14ac:dyDescent="0.2">
      <c r="A155">
        <v>1000003878</v>
      </c>
      <c r="B155" t="s">
        <v>91</v>
      </c>
      <c r="C155">
        <v>9000021216</v>
      </c>
      <c r="D155" t="s">
        <v>92</v>
      </c>
      <c r="E155" t="s">
        <v>38</v>
      </c>
      <c r="F155">
        <v>2026</v>
      </c>
      <c r="G155">
        <v>7</v>
      </c>
      <c r="H155">
        <v>0</v>
      </c>
      <c r="I155" t="s">
        <v>39</v>
      </c>
      <c r="J155" t="s">
        <v>47</v>
      </c>
      <c r="L155" t="s">
        <v>41</v>
      </c>
      <c r="M155" t="s">
        <v>42</v>
      </c>
      <c r="O155" t="s">
        <v>48</v>
      </c>
      <c r="P155" t="s">
        <v>49</v>
      </c>
      <c r="Q155" t="s">
        <v>45</v>
      </c>
      <c r="R155">
        <v>4.3099999999999996</v>
      </c>
      <c r="S155">
        <v>44</v>
      </c>
      <c r="T155">
        <v>189.64</v>
      </c>
      <c r="U155">
        <v>46268.655147939811</v>
      </c>
      <c r="V155" t="s">
        <v>66</v>
      </c>
    </row>
    <row r="156" spans="1:22" x14ac:dyDescent="0.2">
      <c r="A156">
        <v>1000003878</v>
      </c>
      <c r="B156" t="s">
        <v>91</v>
      </c>
      <c r="C156">
        <v>9000021216</v>
      </c>
      <c r="D156" t="s">
        <v>92</v>
      </c>
      <c r="E156" t="s">
        <v>38</v>
      </c>
      <c r="F156">
        <v>2026</v>
      </c>
      <c r="G156">
        <v>7</v>
      </c>
      <c r="H156">
        <v>0</v>
      </c>
      <c r="I156" t="s">
        <v>39</v>
      </c>
      <c r="J156" t="s">
        <v>47</v>
      </c>
      <c r="L156" t="s">
        <v>51</v>
      </c>
      <c r="M156" t="s">
        <v>42</v>
      </c>
      <c r="O156" t="s">
        <v>48</v>
      </c>
      <c r="P156" t="s">
        <v>52</v>
      </c>
      <c r="Q156" t="s">
        <v>45</v>
      </c>
      <c r="R156">
        <v>0.09</v>
      </c>
      <c r="S156">
        <v>71</v>
      </c>
      <c r="T156">
        <v>6.39</v>
      </c>
      <c r="U156">
        <v>46268.655147939811</v>
      </c>
      <c r="V156" t="s">
        <v>53</v>
      </c>
    </row>
    <row r="157" spans="1:22" x14ac:dyDescent="0.2">
      <c r="A157">
        <v>1000003878</v>
      </c>
      <c r="B157" t="s">
        <v>91</v>
      </c>
      <c r="C157">
        <v>9000021216</v>
      </c>
      <c r="D157" t="s">
        <v>92</v>
      </c>
      <c r="E157" t="s">
        <v>38</v>
      </c>
      <c r="F157">
        <v>2026</v>
      </c>
      <c r="G157">
        <v>7</v>
      </c>
      <c r="H157">
        <v>0</v>
      </c>
      <c r="I157" t="s">
        <v>39</v>
      </c>
      <c r="J157" t="s">
        <v>47</v>
      </c>
      <c r="L157" t="s">
        <v>64</v>
      </c>
      <c r="M157" t="s">
        <v>42</v>
      </c>
      <c r="O157" t="s">
        <v>48</v>
      </c>
      <c r="P157" t="s">
        <v>49</v>
      </c>
      <c r="Q157" t="s">
        <v>45</v>
      </c>
      <c r="R157">
        <v>3.91</v>
      </c>
      <c r="S157">
        <v>7</v>
      </c>
      <c r="T157">
        <v>27.37</v>
      </c>
      <c r="U157">
        <v>46268.655147939811</v>
      </c>
      <c r="V157" t="s">
        <v>66</v>
      </c>
    </row>
    <row r="158" spans="1:22" x14ac:dyDescent="0.2">
      <c r="A158">
        <v>1000003878</v>
      </c>
      <c r="B158" t="s">
        <v>91</v>
      </c>
      <c r="C158">
        <v>9000021216</v>
      </c>
      <c r="D158" t="s">
        <v>92</v>
      </c>
      <c r="E158" t="s">
        <v>38</v>
      </c>
      <c r="F158">
        <v>2026</v>
      </c>
      <c r="G158">
        <v>7</v>
      </c>
      <c r="H158">
        <v>0</v>
      </c>
      <c r="I158" t="s">
        <v>39</v>
      </c>
      <c r="J158" t="s">
        <v>47</v>
      </c>
      <c r="L158" t="s">
        <v>54</v>
      </c>
      <c r="M158" t="s">
        <v>42</v>
      </c>
      <c r="O158" t="s">
        <v>48</v>
      </c>
      <c r="P158" t="s">
        <v>55</v>
      </c>
      <c r="Q158" t="s">
        <v>45</v>
      </c>
      <c r="R158">
        <v>0.45</v>
      </c>
      <c r="S158">
        <v>71</v>
      </c>
      <c r="T158">
        <v>31.95</v>
      </c>
      <c r="U158">
        <v>46268.655147939811</v>
      </c>
      <c r="V158" t="s">
        <v>66</v>
      </c>
    </row>
    <row r="159" spans="1:22" x14ac:dyDescent="0.2">
      <c r="A159">
        <v>1000003878</v>
      </c>
      <c r="B159" t="s">
        <v>91</v>
      </c>
      <c r="C159">
        <v>9000021216</v>
      </c>
      <c r="D159" t="s">
        <v>92</v>
      </c>
      <c r="E159" t="s">
        <v>38</v>
      </c>
      <c r="F159">
        <v>2026</v>
      </c>
      <c r="G159">
        <v>7</v>
      </c>
      <c r="H159">
        <v>0</v>
      </c>
      <c r="I159" t="s">
        <v>39</v>
      </c>
      <c r="J159" t="s">
        <v>40</v>
      </c>
      <c r="L159" t="s">
        <v>64</v>
      </c>
      <c r="M159" t="s">
        <v>56</v>
      </c>
      <c r="O159" t="s">
        <v>67</v>
      </c>
      <c r="P159" t="s">
        <v>44</v>
      </c>
      <c r="Q159" t="s">
        <v>45</v>
      </c>
      <c r="R159">
        <v>0.3</v>
      </c>
      <c r="S159">
        <v>7</v>
      </c>
      <c r="T159">
        <v>2.1</v>
      </c>
      <c r="U159">
        <v>46268.655147939811</v>
      </c>
      <c r="V159" t="s">
        <v>58</v>
      </c>
    </row>
    <row r="160" spans="1:22" x14ac:dyDescent="0.2">
      <c r="A160">
        <v>1000003878</v>
      </c>
      <c r="B160" t="s">
        <v>91</v>
      </c>
      <c r="C160">
        <v>9000021216</v>
      </c>
      <c r="D160" t="s">
        <v>92</v>
      </c>
      <c r="E160" t="s">
        <v>38</v>
      </c>
      <c r="F160">
        <v>2026</v>
      </c>
      <c r="G160">
        <v>7</v>
      </c>
      <c r="H160">
        <v>0</v>
      </c>
      <c r="I160" t="s">
        <v>39</v>
      </c>
      <c r="J160" t="s">
        <v>40</v>
      </c>
      <c r="L160" t="s">
        <v>65</v>
      </c>
      <c r="M160" t="s">
        <v>56</v>
      </c>
      <c r="O160" t="s">
        <v>67</v>
      </c>
      <c r="P160" t="s">
        <v>44</v>
      </c>
      <c r="Q160" t="s">
        <v>45</v>
      </c>
      <c r="R160">
        <v>2.63</v>
      </c>
      <c r="S160">
        <v>19</v>
      </c>
      <c r="T160">
        <v>49.97</v>
      </c>
      <c r="U160">
        <v>46268.655147939811</v>
      </c>
      <c r="V160" t="s">
        <v>68</v>
      </c>
    </row>
    <row r="161" spans="1:22" x14ac:dyDescent="0.2">
      <c r="A161">
        <v>1000003878</v>
      </c>
      <c r="B161" t="s">
        <v>91</v>
      </c>
      <c r="C161">
        <v>9000021216</v>
      </c>
      <c r="D161" t="s">
        <v>92</v>
      </c>
      <c r="E161" t="s">
        <v>38</v>
      </c>
      <c r="F161">
        <v>2026</v>
      </c>
      <c r="G161">
        <v>7</v>
      </c>
      <c r="H161">
        <v>0</v>
      </c>
      <c r="I161" t="s">
        <v>39</v>
      </c>
      <c r="J161" t="s">
        <v>47</v>
      </c>
      <c r="L161" t="s">
        <v>41</v>
      </c>
      <c r="M161" t="s">
        <v>56</v>
      </c>
      <c r="O161" t="s">
        <v>57</v>
      </c>
      <c r="P161" t="s">
        <v>44</v>
      </c>
      <c r="Q161" t="s">
        <v>45</v>
      </c>
      <c r="R161">
        <v>0.125</v>
      </c>
      <c r="S161">
        <v>44</v>
      </c>
      <c r="T161">
        <v>5.5</v>
      </c>
      <c r="U161">
        <v>46268.655147939811</v>
      </c>
      <c r="V161" t="s">
        <v>58</v>
      </c>
    </row>
    <row r="162" spans="1:22" x14ac:dyDescent="0.2">
      <c r="A162">
        <v>1000003878</v>
      </c>
      <c r="B162" t="s">
        <v>91</v>
      </c>
      <c r="C162">
        <v>9000021216</v>
      </c>
      <c r="D162" t="s">
        <v>92</v>
      </c>
      <c r="E162" t="s">
        <v>38</v>
      </c>
      <c r="F162">
        <v>2026</v>
      </c>
      <c r="G162">
        <v>7</v>
      </c>
      <c r="H162">
        <v>0</v>
      </c>
      <c r="I162" t="s">
        <v>39</v>
      </c>
      <c r="J162" t="s">
        <v>47</v>
      </c>
      <c r="L162" t="s">
        <v>64</v>
      </c>
      <c r="M162" t="s">
        <v>56</v>
      </c>
      <c r="O162" t="s">
        <v>57</v>
      </c>
      <c r="P162" t="s">
        <v>44</v>
      </c>
      <c r="Q162" t="s">
        <v>45</v>
      </c>
      <c r="R162">
        <v>0.52500000000000002</v>
      </c>
      <c r="S162">
        <v>7</v>
      </c>
      <c r="T162">
        <v>3.67</v>
      </c>
      <c r="U162">
        <v>46268.655147939811</v>
      </c>
      <c r="V162" t="s">
        <v>58</v>
      </c>
    </row>
    <row r="163" spans="1:22" x14ac:dyDescent="0.2">
      <c r="A163">
        <v>1000003878</v>
      </c>
      <c r="B163" t="s">
        <v>91</v>
      </c>
      <c r="C163">
        <v>9000021216</v>
      </c>
      <c r="D163" t="s">
        <v>92</v>
      </c>
      <c r="E163" t="s">
        <v>38</v>
      </c>
      <c r="F163">
        <v>2026</v>
      </c>
      <c r="G163">
        <v>7</v>
      </c>
      <c r="H163">
        <v>0</v>
      </c>
      <c r="I163" t="s">
        <v>39</v>
      </c>
      <c r="J163" t="s">
        <v>47</v>
      </c>
      <c r="L163" t="s">
        <v>65</v>
      </c>
      <c r="M163" t="s">
        <v>56</v>
      </c>
      <c r="O163" t="s">
        <v>57</v>
      </c>
      <c r="P163" t="s">
        <v>44</v>
      </c>
      <c r="Q163" t="s">
        <v>45</v>
      </c>
      <c r="R163">
        <v>4.4349999999999996</v>
      </c>
      <c r="S163">
        <v>20</v>
      </c>
      <c r="T163">
        <v>88.7</v>
      </c>
      <c r="U163">
        <v>46268.655147939811</v>
      </c>
      <c r="V163" t="s">
        <v>58</v>
      </c>
    </row>
    <row r="164" spans="1:22" x14ac:dyDescent="0.2">
      <c r="A164">
        <v>1000004357</v>
      </c>
      <c r="B164" t="s">
        <v>93</v>
      </c>
      <c r="C164">
        <v>1000006278</v>
      </c>
      <c r="D164" t="s">
        <v>94</v>
      </c>
      <c r="E164" t="s">
        <v>38</v>
      </c>
      <c r="F164">
        <v>2026</v>
      </c>
      <c r="G164">
        <v>7</v>
      </c>
      <c r="H164">
        <v>0</v>
      </c>
      <c r="I164" t="s">
        <v>39</v>
      </c>
      <c r="J164" t="s">
        <v>40</v>
      </c>
      <c r="L164" t="s">
        <v>41</v>
      </c>
      <c r="M164" t="s">
        <v>42</v>
      </c>
      <c r="O164" t="s">
        <v>43</v>
      </c>
      <c r="P164" t="s">
        <v>44</v>
      </c>
      <c r="Q164" t="s">
        <v>45</v>
      </c>
      <c r="R164">
        <v>3.05</v>
      </c>
      <c r="S164">
        <v>628</v>
      </c>
      <c r="T164">
        <v>1915.4</v>
      </c>
      <c r="U164">
        <v>46268.655147939811</v>
      </c>
      <c r="V164" t="s">
        <v>46</v>
      </c>
    </row>
    <row r="165" spans="1:22" x14ac:dyDescent="0.2">
      <c r="A165">
        <v>1000004357</v>
      </c>
      <c r="B165" t="s">
        <v>93</v>
      </c>
      <c r="C165">
        <v>1000006278</v>
      </c>
      <c r="D165" t="s">
        <v>94</v>
      </c>
      <c r="E165" t="s">
        <v>38</v>
      </c>
      <c r="F165">
        <v>2026</v>
      </c>
      <c r="G165">
        <v>7</v>
      </c>
      <c r="H165">
        <v>0</v>
      </c>
      <c r="I165" t="s">
        <v>39</v>
      </c>
      <c r="J165" t="s">
        <v>47</v>
      </c>
      <c r="L165" t="s">
        <v>41</v>
      </c>
      <c r="M165" t="s">
        <v>42</v>
      </c>
      <c r="O165" t="s">
        <v>48</v>
      </c>
      <c r="P165" t="s">
        <v>49</v>
      </c>
      <c r="Q165" t="s">
        <v>45</v>
      </c>
      <c r="R165">
        <v>4.3099999999999996</v>
      </c>
      <c r="S165">
        <v>618</v>
      </c>
      <c r="T165">
        <v>2663.58</v>
      </c>
      <c r="U165">
        <v>46268.655147939811</v>
      </c>
      <c r="V165" t="s">
        <v>50</v>
      </c>
    </row>
    <row r="166" spans="1:22" x14ac:dyDescent="0.2">
      <c r="A166">
        <v>1000004357</v>
      </c>
      <c r="B166" t="s">
        <v>93</v>
      </c>
      <c r="C166">
        <v>1000006278</v>
      </c>
      <c r="D166" t="s">
        <v>94</v>
      </c>
      <c r="E166" t="s">
        <v>38</v>
      </c>
      <c r="F166">
        <v>2026</v>
      </c>
      <c r="G166">
        <v>7</v>
      </c>
      <c r="H166">
        <v>0</v>
      </c>
      <c r="I166" t="s">
        <v>39</v>
      </c>
      <c r="J166" t="s">
        <v>47</v>
      </c>
      <c r="L166" t="s">
        <v>51</v>
      </c>
      <c r="M166" t="s">
        <v>42</v>
      </c>
      <c r="O166" t="s">
        <v>48</v>
      </c>
      <c r="P166" t="s">
        <v>52</v>
      </c>
      <c r="Q166" t="s">
        <v>45</v>
      </c>
      <c r="R166">
        <v>0.09</v>
      </c>
      <c r="S166">
        <v>618</v>
      </c>
      <c r="T166">
        <v>55.62</v>
      </c>
      <c r="U166">
        <v>46268.655147939811</v>
      </c>
      <c r="V166" t="s">
        <v>53</v>
      </c>
    </row>
    <row r="167" spans="1:22" x14ac:dyDescent="0.2">
      <c r="A167">
        <v>1000004357</v>
      </c>
      <c r="B167" t="s">
        <v>93</v>
      </c>
      <c r="C167">
        <v>1000006278</v>
      </c>
      <c r="D167" t="s">
        <v>94</v>
      </c>
      <c r="E167" t="s">
        <v>38</v>
      </c>
      <c r="F167">
        <v>2026</v>
      </c>
      <c r="G167">
        <v>7</v>
      </c>
      <c r="H167">
        <v>0</v>
      </c>
      <c r="I167" t="s">
        <v>39</v>
      </c>
      <c r="J167" t="s">
        <v>47</v>
      </c>
      <c r="L167" t="s">
        <v>54</v>
      </c>
      <c r="M167" t="s">
        <v>42</v>
      </c>
      <c r="O167" t="s">
        <v>48</v>
      </c>
      <c r="P167" t="s">
        <v>55</v>
      </c>
      <c r="Q167" t="s">
        <v>45</v>
      </c>
      <c r="R167">
        <v>0.47</v>
      </c>
      <c r="S167">
        <v>618</v>
      </c>
      <c r="T167">
        <v>290.45999999999998</v>
      </c>
      <c r="U167">
        <v>46268.655147939811</v>
      </c>
      <c r="V167" t="s">
        <v>50</v>
      </c>
    </row>
    <row r="168" spans="1:22" x14ac:dyDescent="0.2">
      <c r="A168">
        <v>1000004357</v>
      </c>
      <c r="B168" t="s">
        <v>93</v>
      </c>
      <c r="C168">
        <v>1000006278</v>
      </c>
      <c r="D168" t="s">
        <v>94</v>
      </c>
      <c r="E168" t="s">
        <v>38</v>
      </c>
      <c r="F168">
        <v>2026</v>
      </c>
      <c r="G168">
        <v>7</v>
      </c>
      <c r="H168">
        <v>0</v>
      </c>
      <c r="I168" t="s">
        <v>39</v>
      </c>
      <c r="J168" t="s">
        <v>47</v>
      </c>
      <c r="L168" t="s">
        <v>41</v>
      </c>
      <c r="M168" t="s">
        <v>56</v>
      </c>
      <c r="O168" t="s">
        <v>57</v>
      </c>
      <c r="P168" t="s">
        <v>44</v>
      </c>
      <c r="Q168" t="s">
        <v>45</v>
      </c>
      <c r="R168">
        <v>0.125</v>
      </c>
      <c r="S168">
        <v>618</v>
      </c>
      <c r="T168">
        <v>77.25</v>
      </c>
      <c r="U168">
        <v>46268.655147939811</v>
      </c>
      <c r="V168" t="s">
        <v>58</v>
      </c>
    </row>
    <row r="169" spans="1:22" x14ac:dyDescent="0.2">
      <c r="A169">
        <v>1000004135</v>
      </c>
      <c r="B169" t="s">
        <v>95</v>
      </c>
      <c r="C169">
        <v>1000002810</v>
      </c>
      <c r="D169" t="s">
        <v>95</v>
      </c>
      <c r="E169" t="s">
        <v>38</v>
      </c>
      <c r="F169">
        <v>2026</v>
      </c>
      <c r="G169">
        <v>7</v>
      </c>
      <c r="H169">
        <v>0</v>
      </c>
      <c r="I169" t="s">
        <v>39</v>
      </c>
      <c r="J169" t="s">
        <v>40</v>
      </c>
      <c r="L169" t="s">
        <v>41</v>
      </c>
      <c r="M169" t="s">
        <v>42</v>
      </c>
      <c r="O169" t="s">
        <v>43</v>
      </c>
      <c r="P169" t="s">
        <v>44</v>
      </c>
      <c r="Q169" t="s">
        <v>45</v>
      </c>
      <c r="R169">
        <v>3.05</v>
      </c>
      <c r="S169">
        <v>51</v>
      </c>
      <c r="T169">
        <v>155.55000000000001</v>
      </c>
      <c r="U169">
        <v>46268.655147939811</v>
      </c>
      <c r="V169" t="s">
        <v>46</v>
      </c>
    </row>
    <row r="170" spans="1:22" x14ac:dyDescent="0.2">
      <c r="A170">
        <v>1000004135</v>
      </c>
      <c r="B170" t="s">
        <v>95</v>
      </c>
      <c r="C170">
        <v>1000002810</v>
      </c>
      <c r="D170" t="s">
        <v>95</v>
      </c>
      <c r="E170" t="s">
        <v>38</v>
      </c>
      <c r="F170">
        <v>2026</v>
      </c>
      <c r="G170">
        <v>7</v>
      </c>
      <c r="H170">
        <v>0</v>
      </c>
      <c r="I170" t="s">
        <v>39</v>
      </c>
      <c r="J170" t="s">
        <v>40</v>
      </c>
      <c r="L170" t="s">
        <v>64</v>
      </c>
      <c r="M170" t="s">
        <v>42</v>
      </c>
      <c r="O170" t="s">
        <v>43</v>
      </c>
      <c r="P170" t="s">
        <v>44</v>
      </c>
      <c r="Q170" t="s">
        <v>45</v>
      </c>
      <c r="R170">
        <v>2.75</v>
      </c>
      <c r="S170">
        <v>21</v>
      </c>
      <c r="T170">
        <v>57.75</v>
      </c>
      <c r="U170">
        <v>46268.655147939811</v>
      </c>
      <c r="V170" t="s">
        <v>46</v>
      </c>
    </row>
    <row r="171" spans="1:22" x14ac:dyDescent="0.2">
      <c r="A171">
        <v>1000004135</v>
      </c>
      <c r="B171" t="s">
        <v>95</v>
      </c>
      <c r="C171">
        <v>1000002810</v>
      </c>
      <c r="D171" t="s">
        <v>95</v>
      </c>
      <c r="E171" t="s">
        <v>38</v>
      </c>
      <c r="F171">
        <v>2026</v>
      </c>
      <c r="G171">
        <v>7</v>
      </c>
      <c r="H171">
        <v>0</v>
      </c>
      <c r="I171" t="s">
        <v>39</v>
      </c>
      <c r="J171" t="s">
        <v>40</v>
      </c>
      <c r="L171" t="s">
        <v>65</v>
      </c>
      <c r="M171" t="s">
        <v>42</v>
      </c>
      <c r="O171" t="s">
        <v>43</v>
      </c>
      <c r="P171" t="s">
        <v>44</v>
      </c>
      <c r="Q171" t="s">
        <v>45</v>
      </c>
      <c r="R171">
        <v>0.42</v>
      </c>
      <c r="S171">
        <v>147</v>
      </c>
      <c r="T171">
        <v>61.74</v>
      </c>
      <c r="U171">
        <v>46268.655147939811</v>
      </c>
      <c r="V171" t="s">
        <v>46</v>
      </c>
    </row>
    <row r="172" spans="1:22" x14ac:dyDescent="0.2">
      <c r="A172">
        <v>1000004135</v>
      </c>
      <c r="B172" t="s">
        <v>95</v>
      </c>
      <c r="C172">
        <v>1000002810</v>
      </c>
      <c r="D172" t="s">
        <v>95</v>
      </c>
      <c r="E172" t="s">
        <v>38</v>
      </c>
      <c r="F172">
        <v>2026</v>
      </c>
      <c r="G172">
        <v>7</v>
      </c>
      <c r="H172">
        <v>0</v>
      </c>
      <c r="I172" t="s">
        <v>39</v>
      </c>
      <c r="J172" t="s">
        <v>47</v>
      </c>
      <c r="L172" t="s">
        <v>41</v>
      </c>
      <c r="M172" t="s">
        <v>42</v>
      </c>
      <c r="O172" t="s">
        <v>48</v>
      </c>
      <c r="P172" t="s">
        <v>49</v>
      </c>
      <c r="Q172" t="s">
        <v>45</v>
      </c>
      <c r="R172">
        <v>4.3099999999999996</v>
      </c>
      <c r="S172">
        <v>118</v>
      </c>
      <c r="T172">
        <v>508.58</v>
      </c>
      <c r="U172">
        <v>46268.655147939811</v>
      </c>
      <c r="V172" t="s">
        <v>66</v>
      </c>
    </row>
    <row r="173" spans="1:22" x14ac:dyDescent="0.2">
      <c r="A173">
        <v>1000004135</v>
      </c>
      <c r="B173" t="s">
        <v>95</v>
      </c>
      <c r="C173">
        <v>1000002810</v>
      </c>
      <c r="D173" t="s">
        <v>95</v>
      </c>
      <c r="E173" t="s">
        <v>38</v>
      </c>
      <c r="F173">
        <v>2026</v>
      </c>
      <c r="G173">
        <v>7</v>
      </c>
      <c r="H173">
        <v>0</v>
      </c>
      <c r="I173" t="s">
        <v>39</v>
      </c>
      <c r="J173" t="s">
        <v>47</v>
      </c>
      <c r="L173" t="s">
        <v>51</v>
      </c>
      <c r="M173" t="s">
        <v>42</v>
      </c>
      <c r="O173" t="s">
        <v>48</v>
      </c>
      <c r="P173" t="s">
        <v>52</v>
      </c>
      <c r="Q173" t="s">
        <v>45</v>
      </c>
      <c r="R173">
        <v>0.09</v>
      </c>
      <c r="S173">
        <v>366</v>
      </c>
      <c r="T173">
        <v>32.94</v>
      </c>
      <c r="U173">
        <v>46268.655147939811</v>
      </c>
      <c r="V173" t="s">
        <v>53</v>
      </c>
    </row>
    <row r="174" spans="1:22" x14ac:dyDescent="0.2">
      <c r="A174">
        <v>1000004135</v>
      </c>
      <c r="B174" t="s">
        <v>95</v>
      </c>
      <c r="C174">
        <v>1000002810</v>
      </c>
      <c r="D174" t="s">
        <v>95</v>
      </c>
      <c r="E174" t="s">
        <v>38</v>
      </c>
      <c r="F174">
        <v>2026</v>
      </c>
      <c r="G174">
        <v>7</v>
      </c>
      <c r="H174">
        <v>0</v>
      </c>
      <c r="I174" t="s">
        <v>39</v>
      </c>
      <c r="J174" t="s">
        <v>47</v>
      </c>
      <c r="L174" t="s">
        <v>64</v>
      </c>
      <c r="M174" t="s">
        <v>42</v>
      </c>
      <c r="O174" t="s">
        <v>48</v>
      </c>
      <c r="P174" t="s">
        <v>49</v>
      </c>
      <c r="Q174" t="s">
        <v>45</v>
      </c>
      <c r="R174">
        <v>3.91</v>
      </c>
      <c r="S174">
        <v>40</v>
      </c>
      <c r="T174">
        <v>156.4</v>
      </c>
      <c r="U174">
        <v>46268.655147939811</v>
      </c>
      <c r="V174" t="s">
        <v>66</v>
      </c>
    </row>
    <row r="175" spans="1:22" x14ac:dyDescent="0.2">
      <c r="A175">
        <v>1000004135</v>
      </c>
      <c r="B175" t="s">
        <v>95</v>
      </c>
      <c r="C175">
        <v>1000002810</v>
      </c>
      <c r="D175" t="s">
        <v>95</v>
      </c>
      <c r="E175" t="s">
        <v>38</v>
      </c>
      <c r="F175">
        <v>2026</v>
      </c>
      <c r="G175">
        <v>7</v>
      </c>
      <c r="H175">
        <v>0</v>
      </c>
      <c r="I175" t="s">
        <v>39</v>
      </c>
      <c r="J175" t="s">
        <v>47</v>
      </c>
      <c r="L175" t="s">
        <v>54</v>
      </c>
      <c r="M175" t="s">
        <v>42</v>
      </c>
      <c r="O175" t="s">
        <v>48</v>
      </c>
      <c r="P175" t="s">
        <v>55</v>
      </c>
      <c r="Q175" t="s">
        <v>45</v>
      </c>
      <c r="R175">
        <v>0.45</v>
      </c>
      <c r="S175">
        <v>366</v>
      </c>
      <c r="T175">
        <v>164.7</v>
      </c>
      <c r="U175">
        <v>46268.655147939811</v>
      </c>
      <c r="V175" t="s">
        <v>66</v>
      </c>
    </row>
    <row r="176" spans="1:22" x14ac:dyDescent="0.2">
      <c r="A176">
        <v>1000004135</v>
      </c>
      <c r="B176" t="s">
        <v>95</v>
      </c>
      <c r="C176">
        <v>1000002810</v>
      </c>
      <c r="D176" t="s">
        <v>95</v>
      </c>
      <c r="E176" t="s">
        <v>38</v>
      </c>
      <c r="F176">
        <v>2026</v>
      </c>
      <c r="G176">
        <v>7</v>
      </c>
      <c r="H176">
        <v>0</v>
      </c>
      <c r="I176" t="s">
        <v>39</v>
      </c>
      <c r="J176" t="s">
        <v>40</v>
      </c>
      <c r="L176" t="s">
        <v>64</v>
      </c>
      <c r="M176" t="s">
        <v>56</v>
      </c>
      <c r="O176" t="s">
        <v>67</v>
      </c>
      <c r="P176" t="s">
        <v>44</v>
      </c>
      <c r="Q176" t="s">
        <v>45</v>
      </c>
      <c r="R176">
        <v>0.3</v>
      </c>
      <c r="S176">
        <v>21</v>
      </c>
      <c r="T176">
        <v>6.3</v>
      </c>
      <c r="U176">
        <v>46268.655147939811</v>
      </c>
      <c r="V176" t="s">
        <v>58</v>
      </c>
    </row>
    <row r="177" spans="1:22" x14ac:dyDescent="0.2">
      <c r="A177">
        <v>1000004135</v>
      </c>
      <c r="B177" t="s">
        <v>95</v>
      </c>
      <c r="C177">
        <v>1000002810</v>
      </c>
      <c r="D177" t="s">
        <v>95</v>
      </c>
      <c r="E177" t="s">
        <v>38</v>
      </c>
      <c r="F177">
        <v>2026</v>
      </c>
      <c r="G177">
        <v>7</v>
      </c>
      <c r="H177">
        <v>0</v>
      </c>
      <c r="I177" t="s">
        <v>39</v>
      </c>
      <c r="J177" t="s">
        <v>40</v>
      </c>
      <c r="L177" t="s">
        <v>65</v>
      </c>
      <c r="M177" t="s">
        <v>56</v>
      </c>
      <c r="O177" t="s">
        <v>67</v>
      </c>
      <c r="P177" t="s">
        <v>44</v>
      </c>
      <c r="Q177" t="s">
        <v>45</v>
      </c>
      <c r="R177">
        <v>2.63</v>
      </c>
      <c r="S177">
        <v>147</v>
      </c>
      <c r="T177">
        <v>386.61</v>
      </c>
      <c r="U177">
        <v>46268.655147939811</v>
      </c>
      <c r="V177" t="s">
        <v>68</v>
      </c>
    </row>
    <row r="178" spans="1:22" x14ac:dyDescent="0.2">
      <c r="A178">
        <v>1000004135</v>
      </c>
      <c r="B178" t="s">
        <v>95</v>
      </c>
      <c r="C178">
        <v>1000002810</v>
      </c>
      <c r="D178" t="s">
        <v>95</v>
      </c>
      <c r="E178" t="s">
        <v>38</v>
      </c>
      <c r="F178">
        <v>2026</v>
      </c>
      <c r="G178">
        <v>7</v>
      </c>
      <c r="H178">
        <v>0</v>
      </c>
      <c r="I178" t="s">
        <v>39</v>
      </c>
      <c r="J178" t="s">
        <v>40</v>
      </c>
      <c r="K178" t="s">
        <v>96</v>
      </c>
      <c r="L178" t="s">
        <v>65</v>
      </c>
      <c r="M178" t="s">
        <v>56</v>
      </c>
      <c r="O178" t="s">
        <v>67</v>
      </c>
      <c r="P178" t="s">
        <v>44</v>
      </c>
      <c r="Q178" t="s">
        <v>45</v>
      </c>
      <c r="R178">
        <v>0</v>
      </c>
      <c r="S178">
        <v>11</v>
      </c>
      <c r="T178">
        <v>0</v>
      </c>
      <c r="U178">
        <v>46268.655147939811</v>
      </c>
      <c r="V178" t="s">
        <v>97</v>
      </c>
    </row>
    <row r="179" spans="1:22" x14ac:dyDescent="0.2">
      <c r="A179">
        <v>1000004135</v>
      </c>
      <c r="B179" t="s">
        <v>95</v>
      </c>
      <c r="C179">
        <v>1000002810</v>
      </c>
      <c r="D179" t="s">
        <v>95</v>
      </c>
      <c r="E179" t="s">
        <v>38</v>
      </c>
      <c r="F179">
        <v>2026</v>
      </c>
      <c r="G179">
        <v>7</v>
      </c>
      <c r="H179">
        <v>0</v>
      </c>
      <c r="I179" t="s">
        <v>39</v>
      </c>
      <c r="J179" t="s">
        <v>47</v>
      </c>
      <c r="L179" t="s">
        <v>41</v>
      </c>
      <c r="M179" t="s">
        <v>56</v>
      </c>
      <c r="O179" t="s">
        <v>57</v>
      </c>
      <c r="P179" t="s">
        <v>44</v>
      </c>
      <c r="Q179" t="s">
        <v>45</v>
      </c>
      <c r="R179">
        <v>0.125</v>
      </c>
      <c r="S179">
        <v>118</v>
      </c>
      <c r="T179">
        <v>14.75</v>
      </c>
      <c r="U179">
        <v>46268.655147939811</v>
      </c>
      <c r="V179" t="s">
        <v>58</v>
      </c>
    </row>
    <row r="180" spans="1:22" x14ac:dyDescent="0.2">
      <c r="A180">
        <v>1000004135</v>
      </c>
      <c r="B180" t="s">
        <v>95</v>
      </c>
      <c r="C180">
        <v>1000002810</v>
      </c>
      <c r="D180" t="s">
        <v>95</v>
      </c>
      <c r="E180" t="s">
        <v>38</v>
      </c>
      <c r="F180">
        <v>2026</v>
      </c>
      <c r="G180">
        <v>7</v>
      </c>
      <c r="H180">
        <v>0</v>
      </c>
      <c r="I180" t="s">
        <v>39</v>
      </c>
      <c r="J180" t="s">
        <v>47</v>
      </c>
      <c r="L180" t="s">
        <v>64</v>
      </c>
      <c r="M180" t="s">
        <v>56</v>
      </c>
      <c r="O180" t="s">
        <v>57</v>
      </c>
      <c r="P180" t="s">
        <v>44</v>
      </c>
      <c r="Q180" t="s">
        <v>45</v>
      </c>
      <c r="R180">
        <v>0.52500000000000002</v>
      </c>
      <c r="S180">
        <v>40</v>
      </c>
      <c r="T180">
        <v>21</v>
      </c>
      <c r="U180">
        <v>46268.655147939811</v>
      </c>
      <c r="V180" t="s">
        <v>58</v>
      </c>
    </row>
    <row r="181" spans="1:22" x14ac:dyDescent="0.2">
      <c r="A181">
        <v>1000004135</v>
      </c>
      <c r="B181" t="s">
        <v>95</v>
      </c>
      <c r="C181">
        <v>1000002810</v>
      </c>
      <c r="D181" t="s">
        <v>95</v>
      </c>
      <c r="E181" t="s">
        <v>38</v>
      </c>
      <c r="F181">
        <v>2026</v>
      </c>
      <c r="G181">
        <v>7</v>
      </c>
      <c r="H181">
        <v>0</v>
      </c>
      <c r="I181" t="s">
        <v>39</v>
      </c>
      <c r="J181" t="s">
        <v>47</v>
      </c>
      <c r="L181" t="s">
        <v>65</v>
      </c>
      <c r="M181" t="s">
        <v>56</v>
      </c>
      <c r="O181" t="s">
        <v>57</v>
      </c>
      <c r="P181" t="s">
        <v>44</v>
      </c>
      <c r="Q181" t="s">
        <v>45</v>
      </c>
      <c r="R181">
        <v>4.4349999999999996</v>
      </c>
      <c r="S181">
        <v>208</v>
      </c>
      <c r="T181">
        <v>922.48</v>
      </c>
      <c r="U181">
        <v>46268.655147939811</v>
      </c>
      <c r="V181" t="s">
        <v>58</v>
      </c>
    </row>
    <row r="182" spans="1:22" x14ac:dyDescent="0.2">
      <c r="A182">
        <v>1000004384</v>
      </c>
      <c r="B182" t="s">
        <v>98</v>
      </c>
      <c r="C182">
        <v>1000003242</v>
      </c>
      <c r="D182" t="s">
        <v>99</v>
      </c>
      <c r="E182" t="s">
        <v>38</v>
      </c>
      <c r="F182">
        <v>2026</v>
      </c>
      <c r="G182">
        <v>7</v>
      </c>
      <c r="H182">
        <v>0</v>
      </c>
      <c r="I182" t="s">
        <v>39</v>
      </c>
      <c r="J182" t="s">
        <v>40</v>
      </c>
      <c r="L182" t="s">
        <v>41</v>
      </c>
      <c r="M182" t="s">
        <v>42</v>
      </c>
      <c r="O182" t="s">
        <v>43</v>
      </c>
      <c r="P182" t="s">
        <v>44</v>
      </c>
      <c r="Q182" t="s">
        <v>45</v>
      </c>
      <c r="R182">
        <v>3.05</v>
      </c>
      <c r="S182">
        <v>322</v>
      </c>
      <c r="T182">
        <v>982.1</v>
      </c>
      <c r="U182">
        <v>46268.655147939811</v>
      </c>
      <c r="V182" t="s">
        <v>46</v>
      </c>
    </row>
    <row r="183" spans="1:22" x14ac:dyDescent="0.2">
      <c r="A183">
        <v>1000004384</v>
      </c>
      <c r="B183" t="s">
        <v>98</v>
      </c>
      <c r="C183">
        <v>1000003242</v>
      </c>
      <c r="D183" t="s">
        <v>99</v>
      </c>
      <c r="E183" t="s">
        <v>38</v>
      </c>
      <c r="F183">
        <v>2026</v>
      </c>
      <c r="G183">
        <v>7</v>
      </c>
      <c r="H183">
        <v>0</v>
      </c>
      <c r="I183" t="s">
        <v>39</v>
      </c>
      <c r="J183" t="s">
        <v>40</v>
      </c>
      <c r="L183" t="s">
        <v>64</v>
      </c>
      <c r="M183" t="s">
        <v>42</v>
      </c>
      <c r="O183" t="s">
        <v>43</v>
      </c>
      <c r="P183" t="s">
        <v>44</v>
      </c>
      <c r="Q183" t="s">
        <v>45</v>
      </c>
      <c r="R183">
        <v>2.75</v>
      </c>
      <c r="S183">
        <v>10</v>
      </c>
      <c r="T183">
        <v>27.5</v>
      </c>
      <c r="U183">
        <v>46268.655147939811</v>
      </c>
      <c r="V183" t="s">
        <v>46</v>
      </c>
    </row>
    <row r="184" spans="1:22" x14ac:dyDescent="0.2">
      <c r="A184">
        <v>1000004384</v>
      </c>
      <c r="B184" t="s">
        <v>98</v>
      </c>
      <c r="C184">
        <v>1000003242</v>
      </c>
      <c r="D184" t="s">
        <v>99</v>
      </c>
      <c r="E184" t="s">
        <v>38</v>
      </c>
      <c r="F184">
        <v>2026</v>
      </c>
      <c r="G184">
        <v>7</v>
      </c>
      <c r="H184">
        <v>0</v>
      </c>
      <c r="I184" t="s">
        <v>39</v>
      </c>
      <c r="J184" t="s">
        <v>40</v>
      </c>
      <c r="L184" t="s">
        <v>65</v>
      </c>
      <c r="M184" t="s">
        <v>42</v>
      </c>
      <c r="O184" t="s">
        <v>43</v>
      </c>
      <c r="P184" t="s">
        <v>44</v>
      </c>
      <c r="Q184" t="s">
        <v>45</v>
      </c>
      <c r="R184">
        <v>0.42</v>
      </c>
      <c r="S184">
        <v>94</v>
      </c>
      <c r="T184">
        <v>39.479999999999997</v>
      </c>
      <c r="U184">
        <v>46268.655147939811</v>
      </c>
      <c r="V184" t="s">
        <v>46</v>
      </c>
    </row>
    <row r="185" spans="1:22" x14ac:dyDescent="0.2">
      <c r="A185">
        <v>1000004384</v>
      </c>
      <c r="B185" t="s">
        <v>98</v>
      </c>
      <c r="C185">
        <v>1000003242</v>
      </c>
      <c r="D185" t="s">
        <v>99</v>
      </c>
      <c r="E185" t="s">
        <v>38</v>
      </c>
      <c r="F185">
        <v>2026</v>
      </c>
      <c r="G185">
        <v>7</v>
      </c>
      <c r="H185">
        <v>0</v>
      </c>
      <c r="I185" t="s">
        <v>39</v>
      </c>
      <c r="J185" t="s">
        <v>47</v>
      </c>
      <c r="L185" t="s">
        <v>41</v>
      </c>
      <c r="M185" t="s">
        <v>42</v>
      </c>
      <c r="O185" t="s">
        <v>48</v>
      </c>
      <c r="P185" t="s">
        <v>49</v>
      </c>
      <c r="Q185" t="s">
        <v>45</v>
      </c>
      <c r="R185">
        <v>4.3099999999999996</v>
      </c>
      <c r="S185">
        <v>383</v>
      </c>
      <c r="T185">
        <v>1650.73</v>
      </c>
      <c r="U185">
        <v>46268.655147939811</v>
      </c>
      <c r="V185" t="s">
        <v>50</v>
      </c>
    </row>
    <row r="186" spans="1:22" x14ac:dyDescent="0.2">
      <c r="A186">
        <v>1000004384</v>
      </c>
      <c r="B186" t="s">
        <v>98</v>
      </c>
      <c r="C186">
        <v>1000003242</v>
      </c>
      <c r="D186" t="s">
        <v>99</v>
      </c>
      <c r="E186" t="s">
        <v>38</v>
      </c>
      <c r="F186">
        <v>2026</v>
      </c>
      <c r="G186">
        <v>7</v>
      </c>
      <c r="H186">
        <v>0</v>
      </c>
      <c r="I186" t="s">
        <v>39</v>
      </c>
      <c r="J186" t="s">
        <v>47</v>
      </c>
      <c r="L186" t="s">
        <v>51</v>
      </c>
      <c r="M186" t="s">
        <v>42</v>
      </c>
      <c r="O186" t="s">
        <v>48</v>
      </c>
      <c r="P186" t="s">
        <v>52</v>
      </c>
      <c r="Q186" t="s">
        <v>45</v>
      </c>
      <c r="R186">
        <v>0.09</v>
      </c>
      <c r="S186">
        <v>551</v>
      </c>
      <c r="T186">
        <v>49.59</v>
      </c>
      <c r="U186">
        <v>46268.655147939811</v>
      </c>
      <c r="V186" t="s">
        <v>53</v>
      </c>
    </row>
    <row r="187" spans="1:22" x14ac:dyDescent="0.2">
      <c r="A187">
        <v>1000004384</v>
      </c>
      <c r="B187" t="s">
        <v>98</v>
      </c>
      <c r="C187">
        <v>1000003242</v>
      </c>
      <c r="D187" t="s">
        <v>99</v>
      </c>
      <c r="E187" t="s">
        <v>38</v>
      </c>
      <c r="F187">
        <v>2026</v>
      </c>
      <c r="G187">
        <v>7</v>
      </c>
      <c r="H187">
        <v>0</v>
      </c>
      <c r="I187" t="s">
        <v>39</v>
      </c>
      <c r="J187" t="s">
        <v>47</v>
      </c>
      <c r="L187" t="s">
        <v>64</v>
      </c>
      <c r="M187" t="s">
        <v>42</v>
      </c>
      <c r="O187" t="s">
        <v>48</v>
      </c>
      <c r="P187" t="s">
        <v>49</v>
      </c>
      <c r="Q187" t="s">
        <v>45</v>
      </c>
      <c r="R187">
        <v>3.91</v>
      </c>
      <c r="S187">
        <v>10</v>
      </c>
      <c r="T187">
        <v>39.1</v>
      </c>
      <c r="U187">
        <v>46268.655147939811</v>
      </c>
      <c r="V187" t="s">
        <v>50</v>
      </c>
    </row>
    <row r="188" spans="1:22" x14ac:dyDescent="0.2">
      <c r="A188">
        <v>1000004384</v>
      </c>
      <c r="B188" t="s">
        <v>98</v>
      </c>
      <c r="C188">
        <v>1000003242</v>
      </c>
      <c r="D188" t="s">
        <v>99</v>
      </c>
      <c r="E188" t="s">
        <v>38</v>
      </c>
      <c r="F188">
        <v>2026</v>
      </c>
      <c r="G188">
        <v>7</v>
      </c>
      <c r="H188">
        <v>0</v>
      </c>
      <c r="I188" t="s">
        <v>39</v>
      </c>
      <c r="J188" t="s">
        <v>47</v>
      </c>
      <c r="L188" t="s">
        <v>54</v>
      </c>
      <c r="M188" t="s">
        <v>42</v>
      </c>
      <c r="O188" t="s">
        <v>48</v>
      </c>
      <c r="P188" t="s">
        <v>55</v>
      </c>
      <c r="Q188" t="s">
        <v>45</v>
      </c>
      <c r="R188">
        <v>0.47</v>
      </c>
      <c r="S188">
        <v>551</v>
      </c>
      <c r="T188">
        <v>258.97000000000003</v>
      </c>
      <c r="U188">
        <v>46268.655147939811</v>
      </c>
      <c r="V188" t="s">
        <v>50</v>
      </c>
    </row>
    <row r="189" spans="1:22" x14ac:dyDescent="0.2">
      <c r="A189">
        <v>1000004384</v>
      </c>
      <c r="B189" t="s">
        <v>98</v>
      </c>
      <c r="C189">
        <v>1000003242</v>
      </c>
      <c r="D189" t="s">
        <v>99</v>
      </c>
      <c r="E189" t="s">
        <v>38</v>
      </c>
      <c r="F189">
        <v>2026</v>
      </c>
      <c r="G189">
        <v>7</v>
      </c>
      <c r="H189">
        <v>0</v>
      </c>
      <c r="I189" t="s">
        <v>39</v>
      </c>
      <c r="J189" t="s">
        <v>40</v>
      </c>
      <c r="L189" t="s">
        <v>64</v>
      </c>
      <c r="M189" t="s">
        <v>56</v>
      </c>
      <c r="O189" t="s">
        <v>67</v>
      </c>
      <c r="P189" t="s">
        <v>44</v>
      </c>
      <c r="Q189" t="s">
        <v>45</v>
      </c>
      <c r="R189">
        <v>0.3</v>
      </c>
      <c r="S189">
        <v>10</v>
      </c>
      <c r="T189">
        <v>3</v>
      </c>
      <c r="U189">
        <v>46268.655147939811</v>
      </c>
      <c r="V189" t="s">
        <v>58</v>
      </c>
    </row>
    <row r="190" spans="1:22" x14ac:dyDescent="0.2">
      <c r="A190">
        <v>1000004384</v>
      </c>
      <c r="B190" t="s">
        <v>98</v>
      </c>
      <c r="C190">
        <v>1000003242</v>
      </c>
      <c r="D190" t="s">
        <v>99</v>
      </c>
      <c r="E190" t="s">
        <v>38</v>
      </c>
      <c r="F190">
        <v>2026</v>
      </c>
      <c r="G190">
        <v>7</v>
      </c>
      <c r="H190">
        <v>0</v>
      </c>
      <c r="I190" t="s">
        <v>39</v>
      </c>
      <c r="J190" t="s">
        <v>40</v>
      </c>
      <c r="L190" t="s">
        <v>65</v>
      </c>
      <c r="M190" t="s">
        <v>56</v>
      </c>
      <c r="O190" t="s">
        <v>67</v>
      </c>
      <c r="P190" t="s">
        <v>44</v>
      </c>
      <c r="Q190" t="s">
        <v>45</v>
      </c>
      <c r="R190">
        <v>2.63</v>
      </c>
      <c r="S190">
        <v>94</v>
      </c>
      <c r="T190">
        <v>247.22</v>
      </c>
      <c r="U190">
        <v>46268.655147939811</v>
      </c>
      <c r="V190" t="s">
        <v>68</v>
      </c>
    </row>
    <row r="191" spans="1:22" x14ac:dyDescent="0.2">
      <c r="A191">
        <v>1000004384</v>
      </c>
      <c r="B191" t="s">
        <v>98</v>
      </c>
      <c r="C191">
        <v>1000003242</v>
      </c>
      <c r="D191" t="s">
        <v>99</v>
      </c>
      <c r="E191" t="s">
        <v>38</v>
      </c>
      <c r="F191">
        <v>2026</v>
      </c>
      <c r="G191">
        <v>7</v>
      </c>
      <c r="H191">
        <v>0</v>
      </c>
      <c r="I191" t="s">
        <v>39</v>
      </c>
      <c r="J191" t="s">
        <v>47</v>
      </c>
      <c r="L191" t="s">
        <v>41</v>
      </c>
      <c r="M191" t="s">
        <v>56</v>
      </c>
      <c r="O191" t="s">
        <v>57</v>
      </c>
      <c r="P191" t="s">
        <v>44</v>
      </c>
      <c r="Q191" t="s">
        <v>45</v>
      </c>
      <c r="R191">
        <v>0.125</v>
      </c>
      <c r="S191">
        <v>383</v>
      </c>
      <c r="T191">
        <v>47.87</v>
      </c>
      <c r="U191">
        <v>46268.655147939811</v>
      </c>
      <c r="V191" t="s">
        <v>58</v>
      </c>
    </row>
    <row r="192" spans="1:22" x14ac:dyDescent="0.2">
      <c r="A192">
        <v>1000004384</v>
      </c>
      <c r="B192" t="s">
        <v>98</v>
      </c>
      <c r="C192">
        <v>1000003242</v>
      </c>
      <c r="D192" t="s">
        <v>99</v>
      </c>
      <c r="E192" t="s">
        <v>38</v>
      </c>
      <c r="F192">
        <v>2026</v>
      </c>
      <c r="G192">
        <v>7</v>
      </c>
      <c r="H192">
        <v>0</v>
      </c>
      <c r="I192" t="s">
        <v>39</v>
      </c>
      <c r="J192" t="s">
        <v>47</v>
      </c>
      <c r="L192" t="s">
        <v>64</v>
      </c>
      <c r="M192" t="s">
        <v>56</v>
      </c>
      <c r="O192" t="s">
        <v>57</v>
      </c>
      <c r="P192" t="s">
        <v>44</v>
      </c>
      <c r="Q192" t="s">
        <v>45</v>
      </c>
      <c r="R192">
        <v>0.52500000000000002</v>
      </c>
      <c r="S192">
        <v>10</v>
      </c>
      <c r="T192">
        <v>5.25</v>
      </c>
      <c r="U192">
        <v>46268.655147939811</v>
      </c>
      <c r="V192" t="s">
        <v>58</v>
      </c>
    </row>
    <row r="193" spans="1:22" x14ac:dyDescent="0.2">
      <c r="A193">
        <v>1000004384</v>
      </c>
      <c r="B193" t="s">
        <v>98</v>
      </c>
      <c r="C193">
        <v>1000003242</v>
      </c>
      <c r="D193" t="s">
        <v>99</v>
      </c>
      <c r="E193" t="s">
        <v>38</v>
      </c>
      <c r="F193">
        <v>2026</v>
      </c>
      <c r="G193">
        <v>7</v>
      </c>
      <c r="H193">
        <v>0</v>
      </c>
      <c r="I193" t="s">
        <v>39</v>
      </c>
      <c r="J193" t="s">
        <v>47</v>
      </c>
      <c r="L193" t="s">
        <v>65</v>
      </c>
      <c r="M193" t="s">
        <v>56</v>
      </c>
      <c r="O193" t="s">
        <v>57</v>
      </c>
      <c r="P193" t="s">
        <v>44</v>
      </c>
      <c r="Q193" t="s">
        <v>45</v>
      </c>
      <c r="R193">
        <v>4.4349999999999996</v>
      </c>
      <c r="S193">
        <v>158</v>
      </c>
      <c r="T193">
        <v>700.73</v>
      </c>
      <c r="U193">
        <v>46268.655147939811</v>
      </c>
      <c r="V193" t="s">
        <v>58</v>
      </c>
    </row>
    <row r="194" spans="1:22" x14ac:dyDescent="0.2">
      <c r="A194">
        <v>1000004384</v>
      </c>
      <c r="B194" t="s">
        <v>98</v>
      </c>
      <c r="C194">
        <v>1000003245</v>
      </c>
      <c r="D194" t="s">
        <v>100</v>
      </c>
      <c r="E194" t="s">
        <v>38</v>
      </c>
      <c r="F194">
        <v>2026</v>
      </c>
      <c r="G194">
        <v>7</v>
      </c>
      <c r="H194">
        <v>0</v>
      </c>
      <c r="I194" t="s">
        <v>39</v>
      </c>
      <c r="J194" t="s">
        <v>40</v>
      </c>
      <c r="L194" t="s">
        <v>41</v>
      </c>
      <c r="M194" t="s">
        <v>42</v>
      </c>
      <c r="O194" t="s">
        <v>43</v>
      </c>
      <c r="P194" t="s">
        <v>44</v>
      </c>
      <c r="Q194" t="s">
        <v>45</v>
      </c>
      <c r="R194">
        <v>3.05</v>
      </c>
      <c r="S194">
        <v>271</v>
      </c>
      <c r="T194">
        <v>826.55</v>
      </c>
      <c r="U194">
        <v>46268.655147939811</v>
      </c>
      <c r="V194" t="s">
        <v>46</v>
      </c>
    </row>
    <row r="195" spans="1:22" x14ac:dyDescent="0.2">
      <c r="A195">
        <v>1000004384</v>
      </c>
      <c r="B195" t="s">
        <v>98</v>
      </c>
      <c r="C195">
        <v>1000003245</v>
      </c>
      <c r="D195" t="s">
        <v>100</v>
      </c>
      <c r="E195" t="s">
        <v>38</v>
      </c>
      <c r="F195">
        <v>2026</v>
      </c>
      <c r="G195">
        <v>7</v>
      </c>
      <c r="H195">
        <v>0</v>
      </c>
      <c r="I195" t="s">
        <v>39</v>
      </c>
      <c r="J195" t="s">
        <v>40</v>
      </c>
      <c r="L195" t="s">
        <v>65</v>
      </c>
      <c r="M195" t="s">
        <v>42</v>
      </c>
      <c r="O195" t="s">
        <v>43</v>
      </c>
      <c r="P195" t="s">
        <v>44</v>
      </c>
      <c r="Q195" t="s">
        <v>45</v>
      </c>
      <c r="R195">
        <v>0.42</v>
      </c>
      <c r="S195">
        <v>105</v>
      </c>
      <c r="T195">
        <v>44.1</v>
      </c>
      <c r="U195">
        <v>46268.655147939811</v>
      </c>
      <c r="V195" t="s">
        <v>46</v>
      </c>
    </row>
    <row r="196" spans="1:22" x14ac:dyDescent="0.2">
      <c r="A196">
        <v>1000004384</v>
      </c>
      <c r="B196" t="s">
        <v>98</v>
      </c>
      <c r="C196">
        <v>1000003245</v>
      </c>
      <c r="D196" t="s">
        <v>100</v>
      </c>
      <c r="E196" t="s">
        <v>38</v>
      </c>
      <c r="F196">
        <v>2026</v>
      </c>
      <c r="G196">
        <v>7</v>
      </c>
      <c r="H196">
        <v>0</v>
      </c>
      <c r="I196" t="s">
        <v>39</v>
      </c>
      <c r="J196" t="s">
        <v>47</v>
      </c>
      <c r="L196" t="s">
        <v>41</v>
      </c>
      <c r="M196" t="s">
        <v>42</v>
      </c>
      <c r="O196" t="s">
        <v>48</v>
      </c>
      <c r="P196" t="s">
        <v>49</v>
      </c>
      <c r="Q196" t="s">
        <v>45</v>
      </c>
      <c r="R196">
        <v>4.3099999999999996</v>
      </c>
      <c r="S196">
        <v>362</v>
      </c>
      <c r="T196">
        <v>1560.22</v>
      </c>
      <c r="U196">
        <v>46268.655147939811</v>
      </c>
      <c r="V196" t="s">
        <v>50</v>
      </c>
    </row>
    <row r="197" spans="1:22" x14ac:dyDescent="0.2">
      <c r="A197">
        <v>1000004384</v>
      </c>
      <c r="B197" t="s">
        <v>98</v>
      </c>
      <c r="C197">
        <v>1000003245</v>
      </c>
      <c r="D197" t="s">
        <v>100</v>
      </c>
      <c r="E197" t="s">
        <v>38</v>
      </c>
      <c r="F197">
        <v>2026</v>
      </c>
      <c r="G197">
        <v>7</v>
      </c>
      <c r="H197">
        <v>0</v>
      </c>
      <c r="I197" t="s">
        <v>39</v>
      </c>
      <c r="J197" t="s">
        <v>47</v>
      </c>
      <c r="L197" t="s">
        <v>51</v>
      </c>
      <c r="M197" t="s">
        <v>42</v>
      </c>
      <c r="O197" t="s">
        <v>48</v>
      </c>
      <c r="P197" t="s">
        <v>52</v>
      </c>
      <c r="Q197" t="s">
        <v>45</v>
      </c>
      <c r="R197">
        <v>0.09</v>
      </c>
      <c r="S197">
        <v>624</v>
      </c>
      <c r="T197">
        <v>56.16</v>
      </c>
      <c r="U197">
        <v>46268.655147939811</v>
      </c>
      <c r="V197" t="s">
        <v>53</v>
      </c>
    </row>
    <row r="198" spans="1:22" x14ac:dyDescent="0.2">
      <c r="A198">
        <v>1000004384</v>
      </c>
      <c r="B198" t="s">
        <v>98</v>
      </c>
      <c r="C198">
        <v>1000003245</v>
      </c>
      <c r="D198" t="s">
        <v>100</v>
      </c>
      <c r="E198" t="s">
        <v>38</v>
      </c>
      <c r="F198">
        <v>2026</v>
      </c>
      <c r="G198">
        <v>7</v>
      </c>
      <c r="H198">
        <v>0</v>
      </c>
      <c r="I198" t="s">
        <v>39</v>
      </c>
      <c r="J198" t="s">
        <v>47</v>
      </c>
      <c r="L198" t="s">
        <v>64</v>
      </c>
      <c r="M198" t="s">
        <v>42</v>
      </c>
      <c r="O198" t="s">
        <v>48</v>
      </c>
      <c r="P198" t="s">
        <v>49</v>
      </c>
      <c r="Q198" t="s">
        <v>45</v>
      </c>
      <c r="R198">
        <v>3.91</v>
      </c>
      <c r="S198">
        <v>24</v>
      </c>
      <c r="T198">
        <v>93.84</v>
      </c>
      <c r="U198">
        <v>46268.655147939811</v>
      </c>
      <c r="V198" t="s">
        <v>50</v>
      </c>
    </row>
    <row r="199" spans="1:22" x14ac:dyDescent="0.2">
      <c r="A199">
        <v>1000004384</v>
      </c>
      <c r="B199" t="s">
        <v>98</v>
      </c>
      <c r="C199">
        <v>1000003245</v>
      </c>
      <c r="D199" t="s">
        <v>100</v>
      </c>
      <c r="E199" t="s">
        <v>38</v>
      </c>
      <c r="F199">
        <v>2026</v>
      </c>
      <c r="G199">
        <v>7</v>
      </c>
      <c r="H199">
        <v>0</v>
      </c>
      <c r="I199" t="s">
        <v>39</v>
      </c>
      <c r="J199" t="s">
        <v>47</v>
      </c>
      <c r="L199" t="s">
        <v>54</v>
      </c>
      <c r="M199" t="s">
        <v>42</v>
      </c>
      <c r="O199" t="s">
        <v>48</v>
      </c>
      <c r="P199" t="s">
        <v>55</v>
      </c>
      <c r="Q199" t="s">
        <v>45</v>
      </c>
      <c r="R199">
        <v>0.47</v>
      </c>
      <c r="S199">
        <v>624</v>
      </c>
      <c r="T199">
        <v>293.27999999999997</v>
      </c>
      <c r="U199">
        <v>46268.655147939811</v>
      </c>
      <c r="V199" t="s">
        <v>50</v>
      </c>
    </row>
    <row r="200" spans="1:22" x14ac:dyDescent="0.2">
      <c r="A200">
        <v>1000004384</v>
      </c>
      <c r="B200" t="s">
        <v>98</v>
      </c>
      <c r="C200">
        <v>1000003245</v>
      </c>
      <c r="D200" t="s">
        <v>100</v>
      </c>
      <c r="E200" t="s">
        <v>38</v>
      </c>
      <c r="F200">
        <v>2026</v>
      </c>
      <c r="G200">
        <v>7</v>
      </c>
      <c r="H200">
        <v>0</v>
      </c>
      <c r="I200" t="s">
        <v>39</v>
      </c>
      <c r="J200" t="s">
        <v>40</v>
      </c>
      <c r="L200" t="s">
        <v>65</v>
      </c>
      <c r="M200" t="s">
        <v>56</v>
      </c>
      <c r="O200" t="s">
        <v>67</v>
      </c>
      <c r="P200" t="s">
        <v>44</v>
      </c>
      <c r="Q200" t="s">
        <v>45</v>
      </c>
      <c r="R200">
        <v>2.63</v>
      </c>
      <c r="S200">
        <v>105</v>
      </c>
      <c r="T200">
        <v>276.14999999999998</v>
      </c>
      <c r="U200">
        <v>46268.655147939811</v>
      </c>
      <c r="V200" t="s">
        <v>68</v>
      </c>
    </row>
    <row r="201" spans="1:22" x14ac:dyDescent="0.2">
      <c r="A201">
        <v>1000004384</v>
      </c>
      <c r="B201" t="s">
        <v>98</v>
      </c>
      <c r="C201">
        <v>1000003245</v>
      </c>
      <c r="D201" t="s">
        <v>100</v>
      </c>
      <c r="E201" t="s">
        <v>38</v>
      </c>
      <c r="F201">
        <v>2026</v>
      </c>
      <c r="G201">
        <v>7</v>
      </c>
      <c r="H201">
        <v>0</v>
      </c>
      <c r="I201" t="s">
        <v>39</v>
      </c>
      <c r="J201" t="s">
        <v>47</v>
      </c>
      <c r="L201" t="s">
        <v>41</v>
      </c>
      <c r="M201" t="s">
        <v>56</v>
      </c>
      <c r="O201" t="s">
        <v>57</v>
      </c>
      <c r="P201" t="s">
        <v>44</v>
      </c>
      <c r="Q201" t="s">
        <v>45</v>
      </c>
      <c r="R201">
        <v>0.125</v>
      </c>
      <c r="S201">
        <v>362</v>
      </c>
      <c r="T201">
        <v>45.25</v>
      </c>
      <c r="U201">
        <v>46268.655147939811</v>
      </c>
      <c r="V201" t="s">
        <v>58</v>
      </c>
    </row>
    <row r="202" spans="1:22" x14ac:dyDescent="0.2">
      <c r="A202">
        <v>1000004384</v>
      </c>
      <c r="B202" t="s">
        <v>98</v>
      </c>
      <c r="C202">
        <v>1000003245</v>
      </c>
      <c r="D202" t="s">
        <v>100</v>
      </c>
      <c r="E202" t="s">
        <v>38</v>
      </c>
      <c r="F202">
        <v>2026</v>
      </c>
      <c r="G202">
        <v>7</v>
      </c>
      <c r="H202">
        <v>0</v>
      </c>
      <c r="I202" t="s">
        <v>39</v>
      </c>
      <c r="J202" t="s">
        <v>47</v>
      </c>
      <c r="L202" t="s">
        <v>64</v>
      </c>
      <c r="M202" t="s">
        <v>56</v>
      </c>
      <c r="O202" t="s">
        <v>57</v>
      </c>
      <c r="P202" t="s">
        <v>44</v>
      </c>
      <c r="Q202" t="s">
        <v>45</v>
      </c>
      <c r="R202">
        <v>0.52500000000000002</v>
      </c>
      <c r="S202">
        <v>24</v>
      </c>
      <c r="T202">
        <v>12.6</v>
      </c>
      <c r="U202">
        <v>46268.655147939811</v>
      </c>
      <c r="V202" t="s">
        <v>58</v>
      </c>
    </row>
    <row r="203" spans="1:22" x14ac:dyDescent="0.2">
      <c r="A203">
        <v>1000004384</v>
      </c>
      <c r="B203" t="s">
        <v>98</v>
      </c>
      <c r="C203">
        <v>1000003245</v>
      </c>
      <c r="D203" t="s">
        <v>100</v>
      </c>
      <c r="E203" t="s">
        <v>38</v>
      </c>
      <c r="F203">
        <v>2026</v>
      </c>
      <c r="G203">
        <v>7</v>
      </c>
      <c r="H203">
        <v>0</v>
      </c>
      <c r="I203" t="s">
        <v>39</v>
      </c>
      <c r="J203" t="s">
        <v>47</v>
      </c>
      <c r="L203" t="s">
        <v>65</v>
      </c>
      <c r="M203" t="s">
        <v>56</v>
      </c>
      <c r="O203" t="s">
        <v>57</v>
      </c>
      <c r="P203" t="s">
        <v>44</v>
      </c>
      <c r="Q203" t="s">
        <v>45</v>
      </c>
      <c r="R203">
        <v>4.4349999999999996</v>
      </c>
      <c r="S203">
        <v>238</v>
      </c>
      <c r="T203">
        <v>1055.53</v>
      </c>
      <c r="U203">
        <v>46268.655147939811</v>
      </c>
      <c r="V203" t="s">
        <v>58</v>
      </c>
    </row>
    <row r="204" spans="1:22" x14ac:dyDescent="0.2">
      <c r="A204">
        <v>1000004360</v>
      </c>
      <c r="B204" t="s">
        <v>101</v>
      </c>
      <c r="C204">
        <v>1000003169</v>
      </c>
      <c r="D204" t="s">
        <v>102</v>
      </c>
      <c r="E204" t="s">
        <v>38</v>
      </c>
      <c r="F204">
        <v>2026</v>
      </c>
      <c r="G204">
        <v>7</v>
      </c>
      <c r="H204">
        <v>0</v>
      </c>
      <c r="I204" t="s">
        <v>39</v>
      </c>
      <c r="J204" t="s">
        <v>40</v>
      </c>
      <c r="L204" t="s">
        <v>41</v>
      </c>
      <c r="M204" t="s">
        <v>42</v>
      </c>
      <c r="O204" t="s">
        <v>43</v>
      </c>
      <c r="P204" t="s">
        <v>44</v>
      </c>
      <c r="Q204" t="s">
        <v>45</v>
      </c>
      <c r="R204">
        <v>3.05</v>
      </c>
      <c r="S204">
        <v>1647</v>
      </c>
      <c r="T204">
        <v>5023.3500000000004</v>
      </c>
      <c r="U204">
        <v>46268.655147939811</v>
      </c>
      <c r="V204" t="s">
        <v>46</v>
      </c>
    </row>
    <row r="205" spans="1:22" x14ac:dyDescent="0.2">
      <c r="A205">
        <v>1000004360</v>
      </c>
      <c r="B205" t="s">
        <v>101</v>
      </c>
      <c r="C205">
        <v>1000003169</v>
      </c>
      <c r="D205" t="s">
        <v>102</v>
      </c>
      <c r="E205" t="s">
        <v>38</v>
      </c>
      <c r="F205">
        <v>2026</v>
      </c>
      <c r="G205">
        <v>7</v>
      </c>
      <c r="H205">
        <v>0</v>
      </c>
      <c r="I205" t="s">
        <v>39</v>
      </c>
      <c r="J205" t="s">
        <v>47</v>
      </c>
      <c r="L205" t="s">
        <v>41</v>
      </c>
      <c r="M205" t="s">
        <v>42</v>
      </c>
      <c r="O205" t="s">
        <v>48</v>
      </c>
      <c r="P205" t="s">
        <v>49</v>
      </c>
      <c r="Q205" t="s">
        <v>45</v>
      </c>
      <c r="R205">
        <v>4.3099999999999996</v>
      </c>
      <c r="S205">
        <v>1644</v>
      </c>
      <c r="T205">
        <v>7085.64</v>
      </c>
      <c r="U205">
        <v>46268.655147939811</v>
      </c>
      <c r="V205" t="s">
        <v>50</v>
      </c>
    </row>
    <row r="206" spans="1:22" x14ac:dyDescent="0.2">
      <c r="A206">
        <v>1000004360</v>
      </c>
      <c r="B206" t="s">
        <v>101</v>
      </c>
      <c r="C206">
        <v>1000003169</v>
      </c>
      <c r="D206" t="s">
        <v>102</v>
      </c>
      <c r="E206" t="s">
        <v>38</v>
      </c>
      <c r="F206">
        <v>2026</v>
      </c>
      <c r="G206">
        <v>7</v>
      </c>
      <c r="H206">
        <v>0</v>
      </c>
      <c r="I206" t="s">
        <v>39</v>
      </c>
      <c r="J206" t="s">
        <v>47</v>
      </c>
      <c r="L206" t="s">
        <v>51</v>
      </c>
      <c r="M206" t="s">
        <v>42</v>
      </c>
      <c r="O206" t="s">
        <v>48</v>
      </c>
      <c r="P206" t="s">
        <v>52</v>
      </c>
      <c r="Q206" t="s">
        <v>45</v>
      </c>
      <c r="R206">
        <v>0.09</v>
      </c>
      <c r="S206">
        <v>1644</v>
      </c>
      <c r="T206">
        <v>147.96</v>
      </c>
      <c r="U206">
        <v>46268.655147939811</v>
      </c>
      <c r="V206" t="s">
        <v>53</v>
      </c>
    </row>
    <row r="207" spans="1:22" x14ac:dyDescent="0.2">
      <c r="A207">
        <v>1000004360</v>
      </c>
      <c r="B207" t="s">
        <v>101</v>
      </c>
      <c r="C207">
        <v>1000003169</v>
      </c>
      <c r="D207" t="s">
        <v>102</v>
      </c>
      <c r="E207" t="s">
        <v>38</v>
      </c>
      <c r="F207">
        <v>2026</v>
      </c>
      <c r="G207">
        <v>7</v>
      </c>
      <c r="H207">
        <v>0</v>
      </c>
      <c r="I207" t="s">
        <v>39</v>
      </c>
      <c r="J207" t="s">
        <v>47</v>
      </c>
      <c r="L207" t="s">
        <v>54</v>
      </c>
      <c r="M207" t="s">
        <v>42</v>
      </c>
      <c r="O207" t="s">
        <v>48</v>
      </c>
      <c r="P207" t="s">
        <v>55</v>
      </c>
      <c r="Q207" t="s">
        <v>45</v>
      </c>
      <c r="R207">
        <v>0.47</v>
      </c>
      <c r="S207">
        <v>1644</v>
      </c>
      <c r="T207">
        <v>772.68</v>
      </c>
      <c r="U207">
        <v>46268.655147939811</v>
      </c>
      <c r="V207" t="s">
        <v>50</v>
      </c>
    </row>
    <row r="208" spans="1:22" x14ac:dyDescent="0.2">
      <c r="A208">
        <v>1000004360</v>
      </c>
      <c r="B208" t="s">
        <v>101</v>
      </c>
      <c r="C208">
        <v>1000003169</v>
      </c>
      <c r="D208" t="s">
        <v>102</v>
      </c>
      <c r="E208" t="s">
        <v>38</v>
      </c>
      <c r="F208">
        <v>2026</v>
      </c>
      <c r="G208">
        <v>7</v>
      </c>
      <c r="H208">
        <v>0</v>
      </c>
      <c r="I208" t="s">
        <v>39</v>
      </c>
      <c r="J208" t="s">
        <v>47</v>
      </c>
      <c r="L208" t="s">
        <v>41</v>
      </c>
      <c r="M208" t="s">
        <v>56</v>
      </c>
      <c r="O208" t="s">
        <v>57</v>
      </c>
      <c r="P208" t="s">
        <v>44</v>
      </c>
      <c r="Q208" t="s">
        <v>45</v>
      </c>
      <c r="R208">
        <v>0.125</v>
      </c>
      <c r="S208">
        <v>1644</v>
      </c>
      <c r="T208">
        <v>205.5</v>
      </c>
      <c r="U208">
        <v>46268.655147939811</v>
      </c>
      <c r="V208" t="s">
        <v>58</v>
      </c>
    </row>
    <row r="209" spans="1:22" x14ac:dyDescent="0.2">
      <c r="A209">
        <v>1000003724</v>
      </c>
      <c r="B209" t="s">
        <v>103</v>
      </c>
      <c r="C209">
        <v>1000002006</v>
      </c>
      <c r="D209" t="s">
        <v>104</v>
      </c>
      <c r="E209" t="s">
        <v>38</v>
      </c>
      <c r="F209">
        <v>2026</v>
      </c>
      <c r="G209">
        <v>7</v>
      </c>
      <c r="H209">
        <v>0</v>
      </c>
      <c r="I209" t="s">
        <v>39</v>
      </c>
      <c r="J209" t="s">
        <v>40</v>
      </c>
      <c r="L209" t="s">
        <v>41</v>
      </c>
      <c r="M209" t="s">
        <v>42</v>
      </c>
      <c r="O209" t="s">
        <v>43</v>
      </c>
      <c r="P209" t="s">
        <v>44</v>
      </c>
      <c r="Q209" t="s">
        <v>45</v>
      </c>
      <c r="R209">
        <v>2.54</v>
      </c>
      <c r="S209">
        <v>102</v>
      </c>
      <c r="T209">
        <v>259.08</v>
      </c>
      <c r="U209">
        <v>46268.655147939811</v>
      </c>
      <c r="V209" t="s">
        <v>72</v>
      </c>
    </row>
    <row r="210" spans="1:22" x14ac:dyDescent="0.2">
      <c r="A210">
        <v>1000003724</v>
      </c>
      <c r="B210" t="s">
        <v>103</v>
      </c>
      <c r="C210">
        <v>1000002006</v>
      </c>
      <c r="D210" t="s">
        <v>104</v>
      </c>
      <c r="E210" t="s">
        <v>38</v>
      </c>
      <c r="F210">
        <v>2026</v>
      </c>
      <c r="G210">
        <v>7</v>
      </c>
      <c r="H210">
        <v>0</v>
      </c>
      <c r="I210" t="s">
        <v>39</v>
      </c>
      <c r="J210" t="s">
        <v>40</v>
      </c>
      <c r="L210" t="s">
        <v>64</v>
      </c>
      <c r="M210" t="s">
        <v>42</v>
      </c>
      <c r="O210" t="s">
        <v>43</v>
      </c>
      <c r="P210" t="s">
        <v>44</v>
      </c>
      <c r="Q210" t="s">
        <v>45</v>
      </c>
      <c r="R210">
        <v>2.2400000000000002</v>
      </c>
      <c r="S210">
        <v>35</v>
      </c>
      <c r="T210">
        <v>78.400000000000006</v>
      </c>
      <c r="U210">
        <v>46268.655147939811</v>
      </c>
      <c r="V210" t="s">
        <v>72</v>
      </c>
    </row>
    <row r="211" spans="1:22" x14ac:dyDescent="0.2">
      <c r="A211">
        <v>1000003724</v>
      </c>
      <c r="B211" t="s">
        <v>103</v>
      </c>
      <c r="C211">
        <v>1000002006</v>
      </c>
      <c r="D211" t="s">
        <v>104</v>
      </c>
      <c r="E211" t="s">
        <v>38</v>
      </c>
      <c r="F211">
        <v>2026</v>
      </c>
      <c r="G211">
        <v>7</v>
      </c>
      <c r="H211">
        <v>0</v>
      </c>
      <c r="I211" t="s">
        <v>39</v>
      </c>
      <c r="J211" t="s">
        <v>40</v>
      </c>
      <c r="L211" t="s">
        <v>65</v>
      </c>
      <c r="M211" t="s">
        <v>42</v>
      </c>
      <c r="O211" t="s">
        <v>43</v>
      </c>
      <c r="P211" t="s">
        <v>44</v>
      </c>
      <c r="Q211" t="s">
        <v>45</v>
      </c>
      <c r="R211">
        <v>0.42</v>
      </c>
      <c r="S211">
        <v>191</v>
      </c>
      <c r="T211">
        <v>80.22</v>
      </c>
      <c r="U211">
        <v>46268.655147939811</v>
      </c>
      <c r="V211" t="s">
        <v>72</v>
      </c>
    </row>
    <row r="212" spans="1:22" x14ac:dyDescent="0.2">
      <c r="A212">
        <v>1000003724</v>
      </c>
      <c r="B212" t="s">
        <v>103</v>
      </c>
      <c r="C212">
        <v>1000002006</v>
      </c>
      <c r="D212" t="s">
        <v>104</v>
      </c>
      <c r="E212" t="s">
        <v>38</v>
      </c>
      <c r="F212">
        <v>2026</v>
      </c>
      <c r="G212">
        <v>7</v>
      </c>
      <c r="H212">
        <v>0</v>
      </c>
      <c r="I212" t="s">
        <v>39</v>
      </c>
      <c r="J212" t="s">
        <v>47</v>
      </c>
      <c r="L212" t="s">
        <v>41</v>
      </c>
      <c r="M212" t="s">
        <v>42</v>
      </c>
      <c r="O212" t="s">
        <v>48</v>
      </c>
      <c r="P212" t="s">
        <v>49</v>
      </c>
      <c r="Q212" t="s">
        <v>45</v>
      </c>
      <c r="R212">
        <v>4.3099999999999996</v>
      </c>
      <c r="S212">
        <v>120</v>
      </c>
      <c r="T212">
        <v>517.20000000000005</v>
      </c>
      <c r="U212">
        <v>46268.655147939811</v>
      </c>
      <c r="V212" t="s">
        <v>66</v>
      </c>
    </row>
    <row r="213" spans="1:22" x14ac:dyDescent="0.2">
      <c r="A213">
        <v>1000003724</v>
      </c>
      <c r="B213" t="s">
        <v>103</v>
      </c>
      <c r="C213">
        <v>1000002006</v>
      </c>
      <c r="D213" t="s">
        <v>104</v>
      </c>
      <c r="E213" t="s">
        <v>38</v>
      </c>
      <c r="F213">
        <v>2026</v>
      </c>
      <c r="G213">
        <v>7</v>
      </c>
      <c r="H213">
        <v>0</v>
      </c>
      <c r="I213" t="s">
        <v>39</v>
      </c>
      <c r="J213" t="s">
        <v>47</v>
      </c>
      <c r="L213" t="s">
        <v>51</v>
      </c>
      <c r="M213" t="s">
        <v>42</v>
      </c>
      <c r="O213" t="s">
        <v>48</v>
      </c>
      <c r="P213" t="s">
        <v>52</v>
      </c>
      <c r="Q213" t="s">
        <v>45</v>
      </c>
      <c r="R213">
        <v>0.09</v>
      </c>
      <c r="S213">
        <v>412</v>
      </c>
      <c r="T213">
        <v>37.08</v>
      </c>
      <c r="U213">
        <v>46268.655147939811</v>
      </c>
      <c r="V213" t="s">
        <v>53</v>
      </c>
    </row>
    <row r="214" spans="1:22" x14ac:dyDescent="0.2">
      <c r="A214">
        <v>1000003724</v>
      </c>
      <c r="B214" t="s">
        <v>103</v>
      </c>
      <c r="C214">
        <v>1000002006</v>
      </c>
      <c r="D214" t="s">
        <v>104</v>
      </c>
      <c r="E214" t="s">
        <v>38</v>
      </c>
      <c r="F214">
        <v>2026</v>
      </c>
      <c r="G214">
        <v>7</v>
      </c>
      <c r="H214">
        <v>0</v>
      </c>
      <c r="I214" t="s">
        <v>39</v>
      </c>
      <c r="J214" t="s">
        <v>47</v>
      </c>
      <c r="L214" t="s">
        <v>64</v>
      </c>
      <c r="M214" t="s">
        <v>42</v>
      </c>
      <c r="O214" t="s">
        <v>48</v>
      </c>
      <c r="P214" t="s">
        <v>49</v>
      </c>
      <c r="Q214" t="s">
        <v>45</v>
      </c>
      <c r="R214">
        <v>3.91</v>
      </c>
      <c r="S214">
        <v>43</v>
      </c>
      <c r="T214">
        <v>168.13</v>
      </c>
      <c r="U214">
        <v>46268.655147939811</v>
      </c>
      <c r="V214" t="s">
        <v>66</v>
      </c>
    </row>
    <row r="215" spans="1:22" x14ac:dyDescent="0.2">
      <c r="A215">
        <v>1000003724</v>
      </c>
      <c r="B215" t="s">
        <v>103</v>
      </c>
      <c r="C215">
        <v>1000002006</v>
      </c>
      <c r="D215" t="s">
        <v>104</v>
      </c>
      <c r="E215" t="s">
        <v>38</v>
      </c>
      <c r="F215">
        <v>2026</v>
      </c>
      <c r="G215">
        <v>7</v>
      </c>
      <c r="H215">
        <v>0</v>
      </c>
      <c r="I215" t="s">
        <v>39</v>
      </c>
      <c r="J215" t="s">
        <v>47</v>
      </c>
      <c r="L215" t="s">
        <v>54</v>
      </c>
      <c r="M215" t="s">
        <v>42</v>
      </c>
      <c r="O215" t="s">
        <v>48</v>
      </c>
      <c r="P215" t="s">
        <v>55</v>
      </c>
      <c r="Q215" t="s">
        <v>45</v>
      </c>
      <c r="R215">
        <v>0.45</v>
      </c>
      <c r="S215">
        <v>412</v>
      </c>
      <c r="T215">
        <v>185.4</v>
      </c>
      <c r="U215">
        <v>46268.655147939811</v>
      </c>
      <c r="V215" t="s">
        <v>66</v>
      </c>
    </row>
    <row r="216" spans="1:22" x14ac:dyDescent="0.2">
      <c r="A216">
        <v>1000003724</v>
      </c>
      <c r="B216" t="s">
        <v>103</v>
      </c>
      <c r="C216">
        <v>1000002006</v>
      </c>
      <c r="D216" t="s">
        <v>104</v>
      </c>
      <c r="E216" t="s">
        <v>38</v>
      </c>
      <c r="F216">
        <v>2026</v>
      </c>
      <c r="G216">
        <v>7</v>
      </c>
      <c r="H216">
        <v>0</v>
      </c>
      <c r="I216" t="s">
        <v>39</v>
      </c>
      <c r="J216" t="s">
        <v>40</v>
      </c>
      <c r="L216" t="s">
        <v>64</v>
      </c>
      <c r="M216" t="s">
        <v>56</v>
      </c>
      <c r="O216" t="s">
        <v>67</v>
      </c>
      <c r="P216" t="s">
        <v>44</v>
      </c>
      <c r="Q216" t="s">
        <v>45</v>
      </c>
      <c r="R216">
        <v>0.3</v>
      </c>
      <c r="S216">
        <v>35</v>
      </c>
      <c r="T216">
        <v>10.5</v>
      </c>
      <c r="U216">
        <v>46268.655147939811</v>
      </c>
      <c r="V216" t="s">
        <v>58</v>
      </c>
    </row>
    <row r="217" spans="1:22" x14ac:dyDescent="0.2">
      <c r="A217">
        <v>1000003724</v>
      </c>
      <c r="B217" t="s">
        <v>103</v>
      </c>
      <c r="C217">
        <v>1000002006</v>
      </c>
      <c r="D217" t="s">
        <v>104</v>
      </c>
      <c r="E217" t="s">
        <v>38</v>
      </c>
      <c r="F217">
        <v>2026</v>
      </c>
      <c r="G217">
        <v>7</v>
      </c>
      <c r="H217">
        <v>0</v>
      </c>
      <c r="I217" t="s">
        <v>39</v>
      </c>
      <c r="J217" t="s">
        <v>40</v>
      </c>
      <c r="L217" t="s">
        <v>65</v>
      </c>
      <c r="M217" t="s">
        <v>56</v>
      </c>
      <c r="O217" t="s">
        <v>67</v>
      </c>
      <c r="P217" t="s">
        <v>44</v>
      </c>
      <c r="Q217" t="s">
        <v>45</v>
      </c>
      <c r="R217">
        <v>2.12</v>
      </c>
      <c r="S217">
        <v>191</v>
      </c>
      <c r="T217">
        <v>404.92</v>
      </c>
      <c r="U217">
        <v>46268.655147939811</v>
      </c>
      <c r="V217" t="s">
        <v>73</v>
      </c>
    </row>
    <row r="218" spans="1:22" x14ac:dyDescent="0.2">
      <c r="A218">
        <v>1000003724</v>
      </c>
      <c r="B218" t="s">
        <v>103</v>
      </c>
      <c r="C218">
        <v>1000002006</v>
      </c>
      <c r="D218" t="s">
        <v>104</v>
      </c>
      <c r="E218" t="s">
        <v>38</v>
      </c>
      <c r="F218">
        <v>2026</v>
      </c>
      <c r="G218">
        <v>7</v>
      </c>
      <c r="H218">
        <v>0</v>
      </c>
      <c r="I218" t="s">
        <v>39</v>
      </c>
      <c r="J218" t="s">
        <v>47</v>
      </c>
      <c r="L218" t="s">
        <v>41</v>
      </c>
      <c r="M218" t="s">
        <v>56</v>
      </c>
      <c r="O218" t="s">
        <v>57</v>
      </c>
      <c r="P218" t="s">
        <v>44</v>
      </c>
      <c r="Q218" t="s">
        <v>45</v>
      </c>
      <c r="R218">
        <v>0.125</v>
      </c>
      <c r="S218">
        <v>120</v>
      </c>
      <c r="T218">
        <v>15</v>
      </c>
      <c r="U218">
        <v>46268.655147939811</v>
      </c>
      <c r="V218" t="s">
        <v>58</v>
      </c>
    </row>
    <row r="219" spans="1:22" x14ac:dyDescent="0.2">
      <c r="A219">
        <v>1000003724</v>
      </c>
      <c r="B219" t="s">
        <v>103</v>
      </c>
      <c r="C219">
        <v>1000002006</v>
      </c>
      <c r="D219" t="s">
        <v>104</v>
      </c>
      <c r="E219" t="s">
        <v>38</v>
      </c>
      <c r="F219">
        <v>2026</v>
      </c>
      <c r="G219">
        <v>7</v>
      </c>
      <c r="H219">
        <v>0</v>
      </c>
      <c r="I219" t="s">
        <v>39</v>
      </c>
      <c r="J219" t="s">
        <v>47</v>
      </c>
      <c r="L219" t="s">
        <v>64</v>
      </c>
      <c r="M219" t="s">
        <v>56</v>
      </c>
      <c r="O219" t="s">
        <v>57</v>
      </c>
      <c r="P219" t="s">
        <v>44</v>
      </c>
      <c r="Q219" t="s">
        <v>45</v>
      </c>
      <c r="R219">
        <v>0.52500000000000002</v>
      </c>
      <c r="S219">
        <v>43</v>
      </c>
      <c r="T219">
        <v>22.57</v>
      </c>
      <c r="U219">
        <v>46268.655147939811</v>
      </c>
      <c r="V219" t="s">
        <v>58</v>
      </c>
    </row>
    <row r="220" spans="1:22" x14ac:dyDescent="0.2">
      <c r="A220">
        <v>1000003724</v>
      </c>
      <c r="B220" t="s">
        <v>103</v>
      </c>
      <c r="C220">
        <v>1000002006</v>
      </c>
      <c r="D220" t="s">
        <v>104</v>
      </c>
      <c r="E220" t="s">
        <v>38</v>
      </c>
      <c r="F220">
        <v>2026</v>
      </c>
      <c r="G220">
        <v>7</v>
      </c>
      <c r="H220">
        <v>0</v>
      </c>
      <c r="I220" t="s">
        <v>39</v>
      </c>
      <c r="J220" t="s">
        <v>47</v>
      </c>
      <c r="L220" t="s">
        <v>65</v>
      </c>
      <c r="M220" t="s">
        <v>56</v>
      </c>
      <c r="O220" t="s">
        <v>57</v>
      </c>
      <c r="P220" t="s">
        <v>44</v>
      </c>
      <c r="Q220" t="s">
        <v>45</v>
      </c>
      <c r="R220">
        <v>4.4349999999999996</v>
      </c>
      <c r="S220">
        <v>249</v>
      </c>
      <c r="T220">
        <v>1104.31</v>
      </c>
      <c r="U220">
        <v>46268.655147939811</v>
      </c>
      <c r="V220" t="s">
        <v>58</v>
      </c>
    </row>
    <row r="221" spans="1:22" x14ac:dyDescent="0.2">
      <c r="A221">
        <v>1000003724</v>
      </c>
      <c r="B221" t="s">
        <v>103</v>
      </c>
      <c r="C221">
        <v>1000001992</v>
      </c>
      <c r="D221" t="s">
        <v>105</v>
      </c>
      <c r="E221" t="s">
        <v>38</v>
      </c>
      <c r="F221">
        <v>2026</v>
      </c>
      <c r="G221">
        <v>7</v>
      </c>
      <c r="H221">
        <v>0</v>
      </c>
      <c r="I221" t="s">
        <v>39</v>
      </c>
      <c r="J221" t="s">
        <v>40</v>
      </c>
      <c r="L221" t="s">
        <v>41</v>
      </c>
      <c r="M221" t="s">
        <v>42</v>
      </c>
      <c r="O221" t="s">
        <v>43</v>
      </c>
      <c r="P221" t="s">
        <v>44</v>
      </c>
      <c r="Q221" t="s">
        <v>45</v>
      </c>
      <c r="R221">
        <v>2.54</v>
      </c>
      <c r="S221">
        <v>205</v>
      </c>
      <c r="T221">
        <v>520.70000000000005</v>
      </c>
      <c r="U221">
        <v>46268.655147939811</v>
      </c>
      <c r="V221" t="s">
        <v>72</v>
      </c>
    </row>
    <row r="222" spans="1:22" x14ac:dyDescent="0.2">
      <c r="A222">
        <v>1000003724</v>
      </c>
      <c r="B222" t="s">
        <v>103</v>
      </c>
      <c r="C222">
        <v>1000001992</v>
      </c>
      <c r="D222" t="s">
        <v>105</v>
      </c>
      <c r="E222" t="s">
        <v>38</v>
      </c>
      <c r="F222">
        <v>2026</v>
      </c>
      <c r="G222">
        <v>7</v>
      </c>
      <c r="H222">
        <v>0</v>
      </c>
      <c r="I222" t="s">
        <v>39</v>
      </c>
      <c r="J222" t="s">
        <v>40</v>
      </c>
      <c r="L222" t="s">
        <v>64</v>
      </c>
      <c r="M222" t="s">
        <v>42</v>
      </c>
      <c r="O222" t="s">
        <v>43</v>
      </c>
      <c r="P222" t="s">
        <v>44</v>
      </c>
      <c r="Q222" t="s">
        <v>45</v>
      </c>
      <c r="R222">
        <v>2.2400000000000002</v>
      </c>
      <c r="S222">
        <v>115</v>
      </c>
      <c r="T222">
        <v>257.60000000000002</v>
      </c>
      <c r="U222">
        <v>46268.655147939811</v>
      </c>
      <c r="V222" t="s">
        <v>72</v>
      </c>
    </row>
    <row r="223" spans="1:22" x14ac:dyDescent="0.2">
      <c r="A223">
        <v>1000003724</v>
      </c>
      <c r="B223" t="s">
        <v>103</v>
      </c>
      <c r="C223">
        <v>1000001992</v>
      </c>
      <c r="D223" t="s">
        <v>105</v>
      </c>
      <c r="E223" t="s">
        <v>38</v>
      </c>
      <c r="F223">
        <v>2026</v>
      </c>
      <c r="G223">
        <v>7</v>
      </c>
      <c r="H223">
        <v>0</v>
      </c>
      <c r="I223" t="s">
        <v>39</v>
      </c>
      <c r="J223" t="s">
        <v>40</v>
      </c>
      <c r="L223" t="s">
        <v>65</v>
      </c>
      <c r="M223" t="s">
        <v>42</v>
      </c>
      <c r="O223" t="s">
        <v>43</v>
      </c>
      <c r="P223" t="s">
        <v>44</v>
      </c>
      <c r="Q223" t="s">
        <v>45</v>
      </c>
      <c r="R223">
        <v>0.42</v>
      </c>
      <c r="S223">
        <v>492</v>
      </c>
      <c r="T223">
        <v>206.64</v>
      </c>
      <c r="U223">
        <v>46268.655147939811</v>
      </c>
      <c r="V223" t="s">
        <v>72</v>
      </c>
    </row>
    <row r="224" spans="1:22" x14ac:dyDescent="0.2">
      <c r="A224">
        <v>1000003724</v>
      </c>
      <c r="B224" t="s">
        <v>103</v>
      </c>
      <c r="C224">
        <v>1000001992</v>
      </c>
      <c r="D224" t="s">
        <v>105</v>
      </c>
      <c r="E224" t="s">
        <v>38</v>
      </c>
      <c r="F224">
        <v>2026</v>
      </c>
      <c r="G224">
        <v>7</v>
      </c>
      <c r="H224">
        <v>0</v>
      </c>
      <c r="I224" t="s">
        <v>39</v>
      </c>
      <c r="J224" t="s">
        <v>47</v>
      </c>
      <c r="L224" t="s">
        <v>41</v>
      </c>
      <c r="M224" t="s">
        <v>42</v>
      </c>
      <c r="O224" t="s">
        <v>48</v>
      </c>
      <c r="P224" t="s">
        <v>49</v>
      </c>
      <c r="Q224" t="s">
        <v>45</v>
      </c>
      <c r="R224">
        <v>4.3099999999999996</v>
      </c>
      <c r="S224">
        <v>224</v>
      </c>
      <c r="T224">
        <v>965.44</v>
      </c>
      <c r="U224">
        <v>46268.655147939811</v>
      </c>
      <c r="V224" t="s">
        <v>66</v>
      </c>
    </row>
    <row r="225" spans="1:22" x14ac:dyDescent="0.2">
      <c r="A225">
        <v>1000003724</v>
      </c>
      <c r="B225" t="s">
        <v>103</v>
      </c>
      <c r="C225">
        <v>1000001992</v>
      </c>
      <c r="D225" t="s">
        <v>105</v>
      </c>
      <c r="E225" t="s">
        <v>38</v>
      </c>
      <c r="F225">
        <v>2026</v>
      </c>
      <c r="G225">
        <v>7</v>
      </c>
      <c r="H225">
        <v>0</v>
      </c>
      <c r="I225" t="s">
        <v>39</v>
      </c>
      <c r="J225" t="s">
        <v>47</v>
      </c>
      <c r="L225" t="s">
        <v>51</v>
      </c>
      <c r="M225" t="s">
        <v>42</v>
      </c>
      <c r="O225" t="s">
        <v>48</v>
      </c>
      <c r="P225" t="s">
        <v>52</v>
      </c>
      <c r="Q225" t="s">
        <v>45</v>
      </c>
      <c r="R225">
        <v>0.09</v>
      </c>
      <c r="S225">
        <v>792</v>
      </c>
      <c r="T225">
        <v>71.28</v>
      </c>
      <c r="U225">
        <v>46268.655147939811</v>
      </c>
      <c r="V225" t="s">
        <v>53</v>
      </c>
    </row>
    <row r="226" spans="1:22" x14ac:dyDescent="0.2">
      <c r="A226">
        <v>1000003724</v>
      </c>
      <c r="B226" t="s">
        <v>103</v>
      </c>
      <c r="C226">
        <v>1000001992</v>
      </c>
      <c r="D226" t="s">
        <v>105</v>
      </c>
      <c r="E226" t="s">
        <v>38</v>
      </c>
      <c r="F226">
        <v>2026</v>
      </c>
      <c r="G226">
        <v>7</v>
      </c>
      <c r="H226">
        <v>0</v>
      </c>
      <c r="I226" t="s">
        <v>39</v>
      </c>
      <c r="J226" t="s">
        <v>47</v>
      </c>
      <c r="L226" t="s">
        <v>64</v>
      </c>
      <c r="M226" t="s">
        <v>42</v>
      </c>
      <c r="O226" t="s">
        <v>48</v>
      </c>
      <c r="P226" t="s">
        <v>49</v>
      </c>
      <c r="Q226" t="s">
        <v>45</v>
      </c>
      <c r="R226">
        <v>3.91</v>
      </c>
      <c r="S226">
        <v>109</v>
      </c>
      <c r="T226">
        <v>426.19</v>
      </c>
      <c r="U226">
        <v>46268.655147939811</v>
      </c>
      <c r="V226" t="s">
        <v>66</v>
      </c>
    </row>
    <row r="227" spans="1:22" x14ac:dyDescent="0.2">
      <c r="A227">
        <v>1000003724</v>
      </c>
      <c r="B227" t="s">
        <v>103</v>
      </c>
      <c r="C227">
        <v>1000001992</v>
      </c>
      <c r="D227" t="s">
        <v>105</v>
      </c>
      <c r="E227" t="s">
        <v>38</v>
      </c>
      <c r="F227">
        <v>2026</v>
      </c>
      <c r="G227">
        <v>7</v>
      </c>
      <c r="H227">
        <v>0</v>
      </c>
      <c r="I227" t="s">
        <v>39</v>
      </c>
      <c r="J227" t="s">
        <v>47</v>
      </c>
      <c r="L227" t="s">
        <v>54</v>
      </c>
      <c r="M227" t="s">
        <v>42</v>
      </c>
      <c r="O227" t="s">
        <v>48</v>
      </c>
      <c r="P227" t="s">
        <v>55</v>
      </c>
      <c r="Q227" t="s">
        <v>45</v>
      </c>
      <c r="R227">
        <v>0.45</v>
      </c>
      <c r="S227">
        <v>792</v>
      </c>
      <c r="T227">
        <v>356.4</v>
      </c>
      <c r="U227">
        <v>46268.655147939811</v>
      </c>
      <c r="V227" t="s">
        <v>66</v>
      </c>
    </row>
    <row r="228" spans="1:22" x14ac:dyDescent="0.2">
      <c r="A228">
        <v>1000003724</v>
      </c>
      <c r="B228" t="s">
        <v>103</v>
      </c>
      <c r="C228">
        <v>1000001992</v>
      </c>
      <c r="D228" t="s">
        <v>105</v>
      </c>
      <c r="E228" t="s">
        <v>38</v>
      </c>
      <c r="F228">
        <v>2026</v>
      </c>
      <c r="G228">
        <v>7</v>
      </c>
      <c r="H228">
        <v>0</v>
      </c>
      <c r="I228" t="s">
        <v>39</v>
      </c>
      <c r="J228" t="s">
        <v>40</v>
      </c>
      <c r="L228" t="s">
        <v>64</v>
      </c>
      <c r="M228" t="s">
        <v>56</v>
      </c>
      <c r="O228" t="s">
        <v>67</v>
      </c>
      <c r="P228" t="s">
        <v>44</v>
      </c>
      <c r="Q228" t="s">
        <v>45</v>
      </c>
      <c r="R228">
        <v>0.3</v>
      </c>
      <c r="S228">
        <v>115</v>
      </c>
      <c r="T228">
        <v>34.5</v>
      </c>
      <c r="U228">
        <v>46268.655147939811</v>
      </c>
      <c r="V228" t="s">
        <v>58</v>
      </c>
    </row>
    <row r="229" spans="1:22" x14ac:dyDescent="0.2">
      <c r="A229">
        <v>1000003724</v>
      </c>
      <c r="B229" t="s">
        <v>103</v>
      </c>
      <c r="C229">
        <v>1000001992</v>
      </c>
      <c r="D229" t="s">
        <v>105</v>
      </c>
      <c r="E229" t="s">
        <v>38</v>
      </c>
      <c r="F229">
        <v>2026</v>
      </c>
      <c r="G229">
        <v>7</v>
      </c>
      <c r="H229">
        <v>0</v>
      </c>
      <c r="I229" t="s">
        <v>39</v>
      </c>
      <c r="J229" t="s">
        <v>40</v>
      </c>
      <c r="L229" t="s">
        <v>65</v>
      </c>
      <c r="M229" t="s">
        <v>56</v>
      </c>
      <c r="O229" t="s">
        <v>67</v>
      </c>
      <c r="P229" t="s">
        <v>44</v>
      </c>
      <c r="Q229" t="s">
        <v>45</v>
      </c>
      <c r="R229">
        <v>2.12</v>
      </c>
      <c r="S229">
        <v>492</v>
      </c>
      <c r="T229">
        <v>1043.04</v>
      </c>
      <c r="U229">
        <v>46268.655147939811</v>
      </c>
      <c r="V229" t="s">
        <v>73</v>
      </c>
    </row>
    <row r="230" spans="1:22" x14ac:dyDescent="0.2">
      <c r="A230">
        <v>1000003724</v>
      </c>
      <c r="B230" t="s">
        <v>103</v>
      </c>
      <c r="C230">
        <v>1000001992</v>
      </c>
      <c r="D230" t="s">
        <v>105</v>
      </c>
      <c r="E230" t="s">
        <v>38</v>
      </c>
      <c r="F230">
        <v>2026</v>
      </c>
      <c r="G230">
        <v>7</v>
      </c>
      <c r="H230">
        <v>0</v>
      </c>
      <c r="I230" t="s">
        <v>39</v>
      </c>
      <c r="J230" t="s">
        <v>47</v>
      </c>
      <c r="L230" t="s">
        <v>41</v>
      </c>
      <c r="M230" t="s">
        <v>56</v>
      </c>
      <c r="O230" t="s">
        <v>57</v>
      </c>
      <c r="P230" t="s">
        <v>44</v>
      </c>
      <c r="Q230" t="s">
        <v>45</v>
      </c>
      <c r="R230">
        <v>0.125</v>
      </c>
      <c r="S230">
        <v>224</v>
      </c>
      <c r="T230">
        <v>28</v>
      </c>
      <c r="U230">
        <v>46268.655147939811</v>
      </c>
      <c r="V230" t="s">
        <v>58</v>
      </c>
    </row>
    <row r="231" spans="1:22" x14ac:dyDescent="0.2">
      <c r="A231">
        <v>1000003724</v>
      </c>
      <c r="B231" t="s">
        <v>103</v>
      </c>
      <c r="C231">
        <v>1000001992</v>
      </c>
      <c r="D231" t="s">
        <v>105</v>
      </c>
      <c r="E231" t="s">
        <v>38</v>
      </c>
      <c r="F231">
        <v>2026</v>
      </c>
      <c r="G231">
        <v>7</v>
      </c>
      <c r="H231">
        <v>0</v>
      </c>
      <c r="I231" t="s">
        <v>39</v>
      </c>
      <c r="J231" t="s">
        <v>47</v>
      </c>
      <c r="L231" t="s">
        <v>64</v>
      </c>
      <c r="M231" t="s">
        <v>56</v>
      </c>
      <c r="O231" t="s">
        <v>57</v>
      </c>
      <c r="P231" t="s">
        <v>44</v>
      </c>
      <c r="Q231" t="s">
        <v>45</v>
      </c>
      <c r="R231">
        <v>0.52500000000000002</v>
      </c>
      <c r="S231">
        <v>109</v>
      </c>
      <c r="T231">
        <v>57.22</v>
      </c>
      <c r="U231">
        <v>46268.655147939811</v>
      </c>
      <c r="V231" t="s">
        <v>58</v>
      </c>
    </row>
    <row r="232" spans="1:22" x14ac:dyDescent="0.2">
      <c r="A232">
        <v>1000003724</v>
      </c>
      <c r="B232" t="s">
        <v>103</v>
      </c>
      <c r="C232">
        <v>1000001992</v>
      </c>
      <c r="D232" t="s">
        <v>105</v>
      </c>
      <c r="E232" t="s">
        <v>38</v>
      </c>
      <c r="F232">
        <v>2026</v>
      </c>
      <c r="G232">
        <v>7</v>
      </c>
      <c r="H232">
        <v>0</v>
      </c>
      <c r="I232" t="s">
        <v>39</v>
      </c>
      <c r="J232" t="s">
        <v>47</v>
      </c>
      <c r="L232" t="s">
        <v>65</v>
      </c>
      <c r="M232" t="s">
        <v>56</v>
      </c>
      <c r="O232" t="s">
        <v>57</v>
      </c>
      <c r="P232" t="s">
        <v>44</v>
      </c>
      <c r="Q232" t="s">
        <v>45</v>
      </c>
      <c r="R232">
        <v>4.4349999999999996</v>
      </c>
      <c r="S232">
        <v>459</v>
      </c>
      <c r="T232">
        <v>2035.66</v>
      </c>
      <c r="U232">
        <v>46268.655147939811</v>
      </c>
      <c r="V232" t="s">
        <v>58</v>
      </c>
    </row>
    <row r="233" spans="1:22" x14ac:dyDescent="0.2">
      <c r="A233">
        <v>1000003724</v>
      </c>
      <c r="B233" t="s">
        <v>103</v>
      </c>
      <c r="C233">
        <v>1000002002</v>
      </c>
      <c r="D233" t="s">
        <v>106</v>
      </c>
      <c r="E233" t="s">
        <v>38</v>
      </c>
      <c r="F233">
        <v>2026</v>
      </c>
      <c r="G233">
        <v>7</v>
      </c>
      <c r="H233">
        <v>0</v>
      </c>
      <c r="I233" t="s">
        <v>39</v>
      </c>
      <c r="J233" t="s">
        <v>40</v>
      </c>
      <c r="L233" t="s">
        <v>41</v>
      </c>
      <c r="M233" t="s">
        <v>42</v>
      </c>
      <c r="O233" t="s">
        <v>43</v>
      </c>
      <c r="P233" t="s">
        <v>44</v>
      </c>
      <c r="Q233" t="s">
        <v>45</v>
      </c>
      <c r="R233">
        <v>2.54</v>
      </c>
      <c r="S233">
        <v>18</v>
      </c>
      <c r="T233">
        <v>45.72</v>
      </c>
      <c r="U233">
        <v>46268.655147939811</v>
      </c>
      <c r="V233" t="s">
        <v>72</v>
      </c>
    </row>
    <row r="234" spans="1:22" x14ac:dyDescent="0.2">
      <c r="A234">
        <v>1000003724</v>
      </c>
      <c r="B234" t="s">
        <v>103</v>
      </c>
      <c r="C234">
        <v>1000002002</v>
      </c>
      <c r="D234" t="s">
        <v>106</v>
      </c>
      <c r="E234" t="s">
        <v>38</v>
      </c>
      <c r="F234">
        <v>2026</v>
      </c>
      <c r="G234">
        <v>7</v>
      </c>
      <c r="H234">
        <v>0</v>
      </c>
      <c r="I234" t="s">
        <v>39</v>
      </c>
      <c r="J234" t="s">
        <v>40</v>
      </c>
      <c r="L234" t="s">
        <v>64</v>
      </c>
      <c r="M234" t="s">
        <v>42</v>
      </c>
      <c r="O234" t="s">
        <v>43</v>
      </c>
      <c r="P234" t="s">
        <v>44</v>
      </c>
      <c r="Q234" t="s">
        <v>45</v>
      </c>
      <c r="R234">
        <v>2.2400000000000002</v>
      </c>
      <c r="S234">
        <v>2</v>
      </c>
      <c r="T234">
        <v>4.4800000000000004</v>
      </c>
      <c r="U234">
        <v>46268.655147939811</v>
      </c>
      <c r="V234" t="s">
        <v>72</v>
      </c>
    </row>
    <row r="235" spans="1:22" x14ac:dyDescent="0.2">
      <c r="A235">
        <v>1000003724</v>
      </c>
      <c r="B235" t="s">
        <v>103</v>
      </c>
      <c r="C235">
        <v>1000002002</v>
      </c>
      <c r="D235" t="s">
        <v>106</v>
      </c>
      <c r="E235" t="s">
        <v>38</v>
      </c>
      <c r="F235">
        <v>2026</v>
      </c>
      <c r="G235">
        <v>7</v>
      </c>
      <c r="H235">
        <v>0</v>
      </c>
      <c r="I235" t="s">
        <v>39</v>
      </c>
      <c r="J235" t="s">
        <v>40</v>
      </c>
      <c r="L235" t="s">
        <v>65</v>
      </c>
      <c r="M235" t="s">
        <v>42</v>
      </c>
      <c r="O235" t="s">
        <v>43</v>
      </c>
      <c r="P235" t="s">
        <v>44</v>
      </c>
      <c r="Q235" t="s">
        <v>45</v>
      </c>
      <c r="R235">
        <v>0.42</v>
      </c>
      <c r="S235">
        <v>13</v>
      </c>
      <c r="T235">
        <v>5.46</v>
      </c>
      <c r="U235">
        <v>46268.655147939811</v>
      </c>
      <c r="V235" t="s">
        <v>72</v>
      </c>
    </row>
    <row r="236" spans="1:22" x14ac:dyDescent="0.2">
      <c r="A236">
        <v>1000003724</v>
      </c>
      <c r="B236" t="s">
        <v>103</v>
      </c>
      <c r="C236">
        <v>1000002002</v>
      </c>
      <c r="D236" t="s">
        <v>106</v>
      </c>
      <c r="E236" t="s">
        <v>38</v>
      </c>
      <c r="F236">
        <v>2026</v>
      </c>
      <c r="G236">
        <v>7</v>
      </c>
      <c r="H236">
        <v>0</v>
      </c>
      <c r="I236" t="s">
        <v>39</v>
      </c>
      <c r="J236" t="s">
        <v>47</v>
      </c>
      <c r="L236" t="s">
        <v>41</v>
      </c>
      <c r="M236" t="s">
        <v>42</v>
      </c>
      <c r="O236" t="s">
        <v>48</v>
      </c>
      <c r="P236" t="s">
        <v>49</v>
      </c>
      <c r="Q236" t="s">
        <v>45</v>
      </c>
      <c r="R236">
        <v>4.3099999999999996</v>
      </c>
      <c r="S236">
        <v>44</v>
      </c>
      <c r="T236">
        <v>189.64</v>
      </c>
      <c r="U236">
        <v>46268.655147939811</v>
      </c>
      <c r="V236" t="s">
        <v>66</v>
      </c>
    </row>
    <row r="237" spans="1:22" x14ac:dyDescent="0.2">
      <c r="A237">
        <v>1000003724</v>
      </c>
      <c r="B237" t="s">
        <v>103</v>
      </c>
      <c r="C237">
        <v>1000002002</v>
      </c>
      <c r="D237" t="s">
        <v>106</v>
      </c>
      <c r="E237" t="s">
        <v>38</v>
      </c>
      <c r="F237">
        <v>2026</v>
      </c>
      <c r="G237">
        <v>7</v>
      </c>
      <c r="H237">
        <v>0</v>
      </c>
      <c r="I237" t="s">
        <v>39</v>
      </c>
      <c r="J237" t="s">
        <v>47</v>
      </c>
      <c r="L237" t="s">
        <v>51</v>
      </c>
      <c r="M237" t="s">
        <v>42</v>
      </c>
      <c r="O237" t="s">
        <v>48</v>
      </c>
      <c r="P237" t="s">
        <v>52</v>
      </c>
      <c r="Q237" t="s">
        <v>45</v>
      </c>
      <c r="R237">
        <v>0.09</v>
      </c>
      <c r="S237">
        <v>90</v>
      </c>
      <c r="T237">
        <v>8.1</v>
      </c>
      <c r="U237">
        <v>46268.655147939811</v>
      </c>
      <c r="V237" t="s">
        <v>53</v>
      </c>
    </row>
    <row r="238" spans="1:22" x14ac:dyDescent="0.2">
      <c r="A238">
        <v>1000003724</v>
      </c>
      <c r="B238" t="s">
        <v>103</v>
      </c>
      <c r="C238">
        <v>1000002002</v>
      </c>
      <c r="D238" t="s">
        <v>106</v>
      </c>
      <c r="E238" t="s">
        <v>38</v>
      </c>
      <c r="F238">
        <v>2026</v>
      </c>
      <c r="G238">
        <v>7</v>
      </c>
      <c r="H238">
        <v>0</v>
      </c>
      <c r="I238" t="s">
        <v>39</v>
      </c>
      <c r="J238" t="s">
        <v>47</v>
      </c>
      <c r="L238" t="s">
        <v>64</v>
      </c>
      <c r="M238" t="s">
        <v>42</v>
      </c>
      <c r="O238" t="s">
        <v>48</v>
      </c>
      <c r="P238" t="s">
        <v>49</v>
      </c>
      <c r="Q238" t="s">
        <v>45</v>
      </c>
      <c r="R238">
        <v>3.91</v>
      </c>
      <c r="S238">
        <v>3</v>
      </c>
      <c r="T238">
        <v>11.73</v>
      </c>
      <c r="U238">
        <v>46268.655147939811</v>
      </c>
      <c r="V238" t="s">
        <v>66</v>
      </c>
    </row>
    <row r="239" spans="1:22" x14ac:dyDescent="0.2">
      <c r="A239">
        <v>1000003724</v>
      </c>
      <c r="B239" t="s">
        <v>103</v>
      </c>
      <c r="C239">
        <v>1000002002</v>
      </c>
      <c r="D239" t="s">
        <v>106</v>
      </c>
      <c r="E239" t="s">
        <v>38</v>
      </c>
      <c r="F239">
        <v>2026</v>
      </c>
      <c r="G239">
        <v>7</v>
      </c>
      <c r="H239">
        <v>0</v>
      </c>
      <c r="I239" t="s">
        <v>39</v>
      </c>
      <c r="J239" t="s">
        <v>47</v>
      </c>
      <c r="L239" t="s">
        <v>54</v>
      </c>
      <c r="M239" t="s">
        <v>42</v>
      </c>
      <c r="O239" t="s">
        <v>48</v>
      </c>
      <c r="P239" t="s">
        <v>55</v>
      </c>
      <c r="Q239" t="s">
        <v>45</v>
      </c>
      <c r="R239">
        <v>0.45</v>
      </c>
      <c r="S239">
        <v>90</v>
      </c>
      <c r="T239">
        <v>40.5</v>
      </c>
      <c r="U239">
        <v>46268.655147939811</v>
      </c>
      <c r="V239" t="s">
        <v>66</v>
      </c>
    </row>
    <row r="240" spans="1:22" x14ac:dyDescent="0.2">
      <c r="A240">
        <v>1000003724</v>
      </c>
      <c r="B240" t="s">
        <v>103</v>
      </c>
      <c r="C240">
        <v>1000002002</v>
      </c>
      <c r="D240" t="s">
        <v>106</v>
      </c>
      <c r="E240" t="s">
        <v>38</v>
      </c>
      <c r="F240">
        <v>2026</v>
      </c>
      <c r="G240">
        <v>7</v>
      </c>
      <c r="H240">
        <v>0</v>
      </c>
      <c r="I240" t="s">
        <v>39</v>
      </c>
      <c r="J240" t="s">
        <v>40</v>
      </c>
      <c r="L240" t="s">
        <v>64</v>
      </c>
      <c r="M240" t="s">
        <v>56</v>
      </c>
      <c r="O240" t="s">
        <v>67</v>
      </c>
      <c r="P240" t="s">
        <v>44</v>
      </c>
      <c r="Q240" t="s">
        <v>45</v>
      </c>
      <c r="R240">
        <v>0.3</v>
      </c>
      <c r="S240">
        <v>2</v>
      </c>
      <c r="T240">
        <v>0.6</v>
      </c>
      <c r="U240">
        <v>46268.655147939811</v>
      </c>
      <c r="V240" t="s">
        <v>58</v>
      </c>
    </row>
    <row r="241" spans="1:22" x14ac:dyDescent="0.2">
      <c r="A241">
        <v>1000003724</v>
      </c>
      <c r="B241" t="s">
        <v>103</v>
      </c>
      <c r="C241">
        <v>1000002002</v>
      </c>
      <c r="D241" t="s">
        <v>106</v>
      </c>
      <c r="E241" t="s">
        <v>38</v>
      </c>
      <c r="F241">
        <v>2026</v>
      </c>
      <c r="G241">
        <v>7</v>
      </c>
      <c r="H241">
        <v>0</v>
      </c>
      <c r="I241" t="s">
        <v>39</v>
      </c>
      <c r="J241" t="s">
        <v>40</v>
      </c>
      <c r="L241" t="s">
        <v>65</v>
      </c>
      <c r="M241" t="s">
        <v>56</v>
      </c>
      <c r="O241" t="s">
        <v>67</v>
      </c>
      <c r="P241" t="s">
        <v>44</v>
      </c>
      <c r="Q241" t="s">
        <v>45</v>
      </c>
      <c r="R241">
        <v>2.12</v>
      </c>
      <c r="S241">
        <v>13</v>
      </c>
      <c r="T241">
        <v>27.56</v>
      </c>
      <c r="U241">
        <v>46268.655147939811</v>
      </c>
      <c r="V241" t="s">
        <v>73</v>
      </c>
    </row>
    <row r="242" spans="1:22" x14ac:dyDescent="0.2">
      <c r="A242">
        <v>1000003724</v>
      </c>
      <c r="B242" t="s">
        <v>103</v>
      </c>
      <c r="C242">
        <v>1000002002</v>
      </c>
      <c r="D242" t="s">
        <v>106</v>
      </c>
      <c r="E242" t="s">
        <v>38</v>
      </c>
      <c r="F242">
        <v>2026</v>
      </c>
      <c r="G242">
        <v>7</v>
      </c>
      <c r="H242">
        <v>0</v>
      </c>
      <c r="I242" t="s">
        <v>39</v>
      </c>
      <c r="J242" t="s">
        <v>40</v>
      </c>
      <c r="K242" t="s">
        <v>96</v>
      </c>
      <c r="L242" t="s">
        <v>65</v>
      </c>
      <c r="M242" t="s">
        <v>56</v>
      </c>
      <c r="O242" t="s">
        <v>67</v>
      </c>
      <c r="P242" t="s">
        <v>44</v>
      </c>
      <c r="Q242" t="s">
        <v>45</v>
      </c>
      <c r="R242">
        <v>0</v>
      </c>
      <c r="S242">
        <v>13</v>
      </c>
      <c r="T242">
        <v>0</v>
      </c>
      <c r="U242">
        <v>46268.655147939811</v>
      </c>
      <c r="V242" t="s">
        <v>97</v>
      </c>
    </row>
    <row r="243" spans="1:22" x14ac:dyDescent="0.2">
      <c r="A243">
        <v>1000003724</v>
      </c>
      <c r="B243" t="s">
        <v>103</v>
      </c>
      <c r="C243">
        <v>1000002002</v>
      </c>
      <c r="D243" t="s">
        <v>106</v>
      </c>
      <c r="E243" t="s">
        <v>38</v>
      </c>
      <c r="F243">
        <v>2026</v>
      </c>
      <c r="G243">
        <v>7</v>
      </c>
      <c r="H243">
        <v>0</v>
      </c>
      <c r="I243" t="s">
        <v>39</v>
      </c>
      <c r="J243" t="s">
        <v>47</v>
      </c>
      <c r="L243" t="s">
        <v>41</v>
      </c>
      <c r="M243" t="s">
        <v>56</v>
      </c>
      <c r="O243" t="s">
        <v>57</v>
      </c>
      <c r="P243" t="s">
        <v>44</v>
      </c>
      <c r="Q243" t="s">
        <v>45</v>
      </c>
      <c r="R243">
        <v>0.125</v>
      </c>
      <c r="S243">
        <v>44</v>
      </c>
      <c r="T243">
        <v>5.5</v>
      </c>
      <c r="U243">
        <v>46268.655147939811</v>
      </c>
      <c r="V243" t="s">
        <v>58</v>
      </c>
    </row>
    <row r="244" spans="1:22" x14ac:dyDescent="0.2">
      <c r="A244">
        <v>1000003724</v>
      </c>
      <c r="B244" t="s">
        <v>103</v>
      </c>
      <c r="C244">
        <v>1000002002</v>
      </c>
      <c r="D244" t="s">
        <v>106</v>
      </c>
      <c r="E244" t="s">
        <v>38</v>
      </c>
      <c r="F244">
        <v>2026</v>
      </c>
      <c r="G244">
        <v>7</v>
      </c>
      <c r="H244">
        <v>0</v>
      </c>
      <c r="I244" t="s">
        <v>39</v>
      </c>
      <c r="J244" t="s">
        <v>47</v>
      </c>
      <c r="L244" t="s">
        <v>64</v>
      </c>
      <c r="M244" t="s">
        <v>56</v>
      </c>
      <c r="O244" t="s">
        <v>57</v>
      </c>
      <c r="P244" t="s">
        <v>44</v>
      </c>
      <c r="Q244" t="s">
        <v>45</v>
      </c>
      <c r="R244">
        <v>0.52500000000000002</v>
      </c>
      <c r="S244">
        <v>3</v>
      </c>
      <c r="T244">
        <v>1.57</v>
      </c>
      <c r="U244">
        <v>46268.655147939811</v>
      </c>
      <c r="V244" t="s">
        <v>58</v>
      </c>
    </row>
    <row r="245" spans="1:22" x14ac:dyDescent="0.2">
      <c r="A245">
        <v>1000003724</v>
      </c>
      <c r="B245" t="s">
        <v>103</v>
      </c>
      <c r="C245">
        <v>1000002002</v>
      </c>
      <c r="D245" t="s">
        <v>106</v>
      </c>
      <c r="E245" t="s">
        <v>38</v>
      </c>
      <c r="F245">
        <v>2026</v>
      </c>
      <c r="G245">
        <v>7</v>
      </c>
      <c r="H245">
        <v>0</v>
      </c>
      <c r="I245" t="s">
        <v>39</v>
      </c>
      <c r="J245" t="s">
        <v>47</v>
      </c>
      <c r="L245" t="s">
        <v>65</v>
      </c>
      <c r="M245" t="s">
        <v>56</v>
      </c>
      <c r="O245" t="s">
        <v>57</v>
      </c>
      <c r="P245" t="s">
        <v>44</v>
      </c>
      <c r="Q245" t="s">
        <v>45</v>
      </c>
      <c r="R245">
        <v>4.4349999999999996</v>
      </c>
      <c r="S245">
        <v>43</v>
      </c>
      <c r="T245">
        <v>190.7</v>
      </c>
      <c r="U245">
        <v>46268.655147939811</v>
      </c>
      <c r="V245" t="s">
        <v>58</v>
      </c>
    </row>
    <row r="246" spans="1:22" x14ac:dyDescent="0.2">
      <c r="A246">
        <v>1000003724</v>
      </c>
      <c r="B246" t="s">
        <v>103</v>
      </c>
      <c r="C246">
        <v>1000001998</v>
      </c>
      <c r="D246" t="s">
        <v>107</v>
      </c>
      <c r="E246" t="s">
        <v>38</v>
      </c>
      <c r="F246">
        <v>2026</v>
      </c>
      <c r="G246">
        <v>7</v>
      </c>
      <c r="H246">
        <v>0</v>
      </c>
      <c r="I246" t="s">
        <v>39</v>
      </c>
      <c r="J246" t="s">
        <v>40</v>
      </c>
      <c r="L246" t="s">
        <v>41</v>
      </c>
      <c r="M246" t="s">
        <v>42</v>
      </c>
      <c r="O246" t="s">
        <v>43</v>
      </c>
      <c r="P246" t="s">
        <v>44</v>
      </c>
      <c r="Q246" t="s">
        <v>45</v>
      </c>
      <c r="R246">
        <v>2.54</v>
      </c>
      <c r="S246">
        <v>250</v>
      </c>
      <c r="T246">
        <v>635</v>
      </c>
      <c r="U246">
        <v>46268.655147939811</v>
      </c>
      <c r="V246" t="s">
        <v>72</v>
      </c>
    </row>
    <row r="247" spans="1:22" x14ac:dyDescent="0.2">
      <c r="A247">
        <v>1000003724</v>
      </c>
      <c r="B247" t="s">
        <v>103</v>
      </c>
      <c r="C247">
        <v>1000001998</v>
      </c>
      <c r="D247" t="s">
        <v>107</v>
      </c>
      <c r="E247" t="s">
        <v>38</v>
      </c>
      <c r="F247">
        <v>2026</v>
      </c>
      <c r="G247">
        <v>7</v>
      </c>
      <c r="H247">
        <v>0</v>
      </c>
      <c r="I247" t="s">
        <v>39</v>
      </c>
      <c r="J247" t="s">
        <v>40</v>
      </c>
      <c r="L247" t="s">
        <v>64</v>
      </c>
      <c r="M247" t="s">
        <v>42</v>
      </c>
      <c r="O247" t="s">
        <v>43</v>
      </c>
      <c r="P247" t="s">
        <v>44</v>
      </c>
      <c r="Q247" t="s">
        <v>45</v>
      </c>
      <c r="R247">
        <v>2.2400000000000002</v>
      </c>
      <c r="S247">
        <v>103</v>
      </c>
      <c r="T247">
        <v>230.72</v>
      </c>
      <c r="U247">
        <v>46268.655147939811</v>
      </c>
      <c r="V247" t="s">
        <v>72</v>
      </c>
    </row>
    <row r="248" spans="1:22" x14ac:dyDescent="0.2">
      <c r="A248">
        <v>1000003724</v>
      </c>
      <c r="B248" t="s">
        <v>103</v>
      </c>
      <c r="C248">
        <v>1000001998</v>
      </c>
      <c r="D248" t="s">
        <v>107</v>
      </c>
      <c r="E248" t="s">
        <v>38</v>
      </c>
      <c r="F248">
        <v>2026</v>
      </c>
      <c r="G248">
        <v>7</v>
      </c>
      <c r="H248">
        <v>0</v>
      </c>
      <c r="I248" t="s">
        <v>39</v>
      </c>
      <c r="J248" t="s">
        <v>40</v>
      </c>
      <c r="L248" t="s">
        <v>65</v>
      </c>
      <c r="M248" t="s">
        <v>42</v>
      </c>
      <c r="O248" t="s">
        <v>43</v>
      </c>
      <c r="P248" t="s">
        <v>44</v>
      </c>
      <c r="Q248" t="s">
        <v>45</v>
      </c>
      <c r="R248">
        <v>0.42</v>
      </c>
      <c r="S248">
        <v>366</v>
      </c>
      <c r="T248">
        <v>153.72</v>
      </c>
      <c r="U248">
        <v>46268.655147939811</v>
      </c>
      <c r="V248" t="s">
        <v>72</v>
      </c>
    </row>
    <row r="249" spans="1:22" x14ac:dyDescent="0.2">
      <c r="A249">
        <v>1000003724</v>
      </c>
      <c r="B249" t="s">
        <v>103</v>
      </c>
      <c r="C249">
        <v>1000001998</v>
      </c>
      <c r="D249" t="s">
        <v>107</v>
      </c>
      <c r="E249" t="s">
        <v>38</v>
      </c>
      <c r="F249">
        <v>2026</v>
      </c>
      <c r="G249">
        <v>7</v>
      </c>
      <c r="H249">
        <v>0</v>
      </c>
      <c r="I249" t="s">
        <v>39</v>
      </c>
      <c r="J249" t="s">
        <v>47</v>
      </c>
      <c r="L249" t="s">
        <v>41</v>
      </c>
      <c r="M249" t="s">
        <v>42</v>
      </c>
      <c r="O249" t="s">
        <v>48</v>
      </c>
      <c r="P249" t="s">
        <v>49</v>
      </c>
      <c r="Q249" t="s">
        <v>45</v>
      </c>
      <c r="R249">
        <v>4.3099999999999996</v>
      </c>
      <c r="S249">
        <v>292</v>
      </c>
      <c r="T249">
        <v>1258.52</v>
      </c>
      <c r="U249">
        <v>46268.655147939811</v>
      </c>
      <c r="V249" t="s">
        <v>66</v>
      </c>
    </row>
    <row r="250" spans="1:22" x14ac:dyDescent="0.2">
      <c r="A250">
        <v>1000003724</v>
      </c>
      <c r="B250" t="s">
        <v>103</v>
      </c>
      <c r="C250">
        <v>1000001998</v>
      </c>
      <c r="D250" t="s">
        <v>107</v>
      </c>
      <c r="E250" t="s">
        <v>38</v>
      </c>
      <c r="F250">
        <v>2026</v>
      </c>
      <c r="G250">
        <v>7</v>
      </c>
      <c r="H250">
        <v>0</v>
      </c>
      <c r="I250" t="s">
        <v>39</v>
      </c>
      <c r="J250" t="s">
        <v>47</v>
      </c>
      <c r="L250" t="s">
        <v>51</v>
      </c>
      <c r="M250" t="s">
        <v>42</v>
      </c>
      <c r="O250" t="s">
        <v>48</v>
      </c>
      <c r="P250" t="s">
        <v>52</v>
      </c>
      <c r="Q250" t="s">
        <v>45</v>
      </c>
      <c r="R250">
        <v>0.09</v>
      </c>
      <c r="S250">
        <v>971</v>
      </c>
      <c r="T250">
        <v>87.39</v>
      </c>
      <c r="U250">
        <v>46268.655147939811</v>
      </c>
      <c r="V250" t="s">
        <v>53</v>
      </c>
    </row>
    <row r="251" spans="1:22" x14ac:dyDescent="0.2">
      <c r="A251">
        <v>1000003724</v>
      </c>
      <c r="B251" t="s">
        <v>103</v>
      </c>
      <c r="C251">
        <v>1000001998</v>
      </c>
      <c r="D251" t="s">
        <v>107</v>
      </c>
      <c r="E251" t="s">
        <v>38</v>
      </c>
      <c r="F251">
        <v>2026</v>
      </c>
      <c r="G251">
        <v>7</v>
      </c>
      <c r="H251">
        <v>0</v>
      </c>
      <c r="I251" t="s">
        <v>39</v>
      </c>
      <c r="J251" t="s">
        <v>47</v>
      </c>
      <c r="L251" t="s">
        <v>64</v>
      </c>
      <c r="M251" t="s">
        <v>42</v>
      </c>
      <c r="O251" t="s">
        <v>48</v>
      </c>
      <c r="P251" t="s">
        <v>49</v>
      </c>
      <c r="Q251" t="s">
        <v>45</v>
      </c>
      <c r="R251">
        <v>3.91</v>
      </c>
      <c r="S251">
        <v>135</v>
      </c>
      <c r="T251">
        <v>527.85</v>
      </c>
      <c r="U251">
        <v>46268.655147939811</v>
      </c>
      <c r="V251" t="s">
        <v>66</v>
      </c>
    </row>
    <row r="252" spans="1:22" x14ac:dyDescent="0.2">
      <c r="A252">
        <v>1000003724</v>
      </c>
      <c r="B252" t="s">
        <v>103</v>
      </c>
      <c r="C252">
        <v>1000001998</v>
      </c>
      <c r="D252" t="s">
        <v>107</v>
      </c>
      <c r="E252" t="s">
        <v>38</v>
      </c>
      <c r="F252">
        <v>2026</v>
      </c>
      <c r="G252">
        <v>7</v>
      </c>
      <c r="H252">
        <v>0</v>
      </c>
      <c r="I252" t="s">
        <v>39</v>
      </c>
      <c r="J252" t="s">
        <v>47</v>
      </c>
      <c r="L252" t="s">
        <v>54</v>
      </c>
      <c r="M252" t="s">
        <v>42</v>
      </c>
      <c r="O252" t="s">
        <v>48</v>
      </c>
      <c r="P252" t="s">
        <v>55</v>
      </c>
      <c r="Q252" t="s">
        <v>45</v>
      </c>
      <c r="R252">
        <v>0.45</v>
      </c>
      <c r="S252">
        <v>971</v>
      </c>
      <c r="T252">
        <v>436.95</v>
      </c>
      <c r="U252">
        <v>46268.655147939811</v>
      </c>
      <c r="V252" t="s">
        <v>66</v>
      </c>
    </row>
    <row r="253" spans="1:22" x14ac:dyDescent="0.2">
      <c r="A253">
        <v>1000003724</v>
      </c>
      <c r="B253" t="s">
        <v>103</v>
      </c>
      <c r="C253">
        <v>1000001998</v>
      </c>
      <c r="D253" t="s">
        <v>107</v>
      </c>
      <c r="E253" t="s">
        <v>38</v>
      </c>
      <c r="F253">
        <v>2026</v>
      </c>
      <c r="G253">
        <v>7</v>
      </c>
      <c r="H253">
        <v>0</v>
      </c>
      <c r="I253" t="s">
        <v>39</v>
      </c>
      <c r="J253" t="s">
        <v>40</v>
      </c>
      <c r="L253" t="s">
        <v>64</v>
      </c>
      <c r="M253" t="s">
        <v>56</v>
      </c>
      <c r="O253" t="s">
        <v>67</v>
      </c>
      <c r="P253" t="s">
        <v>44</v>
      </c>
      <c r="Q253" t="s">
        <v>45</v>
      </c>
      <c r="R253">
        <v>0.3</v>
      </c>
      <c r="S253">
        <v>103</v>
      </c>
      <c r="T253">
        <v>30.9</v>
      </c>
      <c r="U253">
        <v>46268.655147939811</v>
      </c>
      <c r="V253" t="s">
        <v>58</v>
      </c>
    </row>
    <row r="254" spans="1:22" x14ac:dyDescent="0.2">
      <c r="A254">
        <v>1000003724</v>
      </c>
      <c r="B254" t="s">
        <v>103</v>
      </c>
      <c r="C254">
        <v>1000001998</v>
      </c>
      <c r="D254" t="s">
        <v>107</v>
      </c>
      <c r="E254" t="s">
        <v>38</v>
      </c>
      <c r="F254">
        <v>2026</v>
      </c>
      <c r="G254">
        <v>7</v>
      </c>
      <c r="H254">
        <v>0</v>
      </c>
      <c r="I254" t="s">
        <v>39</v>
      </c>
      <c r="J254" t="s">
        <v>40</v>
      </c>
      <c r="L254" t="s">
        <v>65</v>
      </c>
      <c r="M254" t="s">
        <v>56</v>
      </c>
      <c r="O254" t="s">
        <v>67</v>
      </c>
      <c r="P254" t="s">
        <v>44</v>
      </c>
      <c r="Q254" t="s">
        <v>45</v>
      </c>
      <c r="R254">
        <v>2.12</v>
      </c>
      <c r="S254">
        <v>366</v>
      </c>
      <c r="T254">
        <v>775.92</v>
      </c>
      <c r="U254">
        <v>46268.655147939811</v>
      </c>
      <c r="V254" t="s">
        <v>73</v>
      </c>
    </row>
    <row r="255" spans="1:22" x14ac:dyDescent="0.2">
      <c r="A255">
        <v>1000003724</v>
      </c>
      <c r="B255" t="s">
        <v>103</v>
      </c>
      <c r="C255">
        <v>1000001998</v>
      </c>
      <c r="D255" t="s">
        <v>107</v>
      </c>
      <c r="E255" t="s">
        <v>38</v>
      </c>
      <c r="F255">
        <v>2026</v>
      </c>
      <c r="G255">
        <v>7</v>
      </c>
      <c r="H255">
        <v>0</v>
      </c>
      <c r="I255" t="s">
        <v>39</v>
      </c>
      <c r="J255" t="s">
        <v>47</v>
      </c>
      <c r="L255" t="s">
        <v>41</v>
      </c>
      <c r="M255" t="s">
        <v>56</v>
      </c>
      <c r="O255" t="s">
        <v>57</v>
      </c>
      <c r="P255" t="s">
        <v>44</v>
      </c>
      <c r="Q255" t="s">
        <v>45</v>
      </c>
      <c r="R255">
        <v>0.125</v>
      </c>
      <c r="S255">
        <v>292</v>
      </c>
      <c r="T255">
        <v>36.5</v>
      </c>
      <c r="U255">
        <v>46268.655147939811</v>
      </c>
      <c r="V255" t="s">
        <v>58</v>
      </c>
    </row>
    <row r="256" spans="1:22" x14ac:dyDescent="0.2">
      <c r="A256">
        <v>1000003724</v>
      </c>
      <c r="B256" t="s">
        <v>103</v>
      </c>
      <c r="C256">
        <v>1000001998</v>
      </c>
      <c r="D256" t="s">
        <v>107</v>
      </c>
      <c r="E256" t="s">
        <v>38</v>
      </c>
      <c r="F256">
        <v>2026</v>
      </c>
      <c r="G256">
        <v>7</v>
      </c>
      <c r="H256">
        <v>0</v>
      </c>
      <c r="I256" t="s">
        <v>39</v>
      </c>
      <c r="J256" t="s">
        <v>47</v>
      </c>
      <c r="L256" t="s">
        <v>64</v>
      </c>
      <c r="M256" t="s">
        <v>56</v>
      </c>
      <c r="O256" t="s">
        <v>57</v>
      </c>
      <c r="P256" t="s">
        <v>44</v>
      </c>
      <c r="Q256" t="s">
        <v>45</v>
      </c>
      <c r="R256">
        <v>0.52500000000000002</v>
      </c>
      <c r="S256">
        <v>135</v>
      </c>
      <c r="T256">
        <v>70.87</v>
      </c>
      <c r="U256">
        <v>46268.655147939811</v>
      </c>
      <c r="V256" t="s">
        <v>58</v>
      </c>
    </row>
    <row r="257" spans="1:22" x14ac:dyDescent="0.2">
      <c r="A257">
        <v>1000003724</v>
      </c>
      <c r="B257" t="s">
        <v>103</v>
      </c>
      <c r="C257">
        <v>1000001998</v>
      </c>
      <c r="D257" t="s">
        <v>107</v>
      </c>
      <c r="E257" t="s">
        <v>38</v>
      </c>
      <c r="F257">
        <v>2026</v>
      </c>
      <c r="G257">
        <v>7</v>
      </c>
      <c r="H257">
        <v>0</v>
      </c>
      <c r="I257" t="s">
        <v>39</v>
      </c>
      <c r="J257" t="s">
        <v>47</v>
      </c>
      <c r="L257" t="s">
        <v>65</v>
      </c>
      <c r="M257" t="s">
        <v>56</v>
      </c>
      <c r="O257" t="s">
        <v>57</v>
      </c>
      <c r="P257" t="s">
        <v>44</v>
      </c>
      <c r="Q257" t="s">
        <v>45</v>
      </c>
      <c r="R257">
        <v>4.4349999999999996</v>
      </c>
      <c r="S257">
        <v>544</v>
      </c>
      <c r="T257">
        <v>2412.64</v>
      </c>
      <c r="U257">
        <v>46268.655147939811</v>
      </c>
      <c r="V257" t="s">
        <v>58</v>
      </c>
    </row>
    <row r="258" spans="1:22" x14ac:dyDescent="0.2">
      <c r="A258">
        <v>1000004366</v>
      </c>
      <c r="B258" t="s">
        <v>108</v>
      </c>
      <c r="C258">
        <v>9000021028</v>
      </c>
      <c r="D258" t="s">
        <v>109</v>
      </c>
      <c r="E258" t="s">
        <v>38</v>
      </c>
      <c r="F258">
        <v>2026</v>
      </c>
      <c r="G258">
        <v>7</v>
      </c>
      <c r="H258">
        <v>0</v>
      </c>
      <c r="I258" t="s">
        <v>39</v>
      </c>
      <c r="J258" t="s">
        <v>40</v>
      </c>
      <c r="L258" t="s">
        <v>65</v>
      </c>
      <c r="M258" t="s">
        <v>42</v>
      </c>
      <c r="O258" t="s">
        <v>43</v>
      </c>
      <c r="P258" t="s">
        <v>44</v>
      </c>
      <c r="Q258" t="s">
        <v>45</v>
      </c>
      <c r="R258">
        <v>0.42</v>
      </c>
      <c r="S258">
        <v>132</v>
      </c>
      <c r="T258">
        <v>55.44</v>
      </c>
      <c r="U258">
        <v>46268.655147939811</v>
      </c>
      <c r="V258" t="s">
        <v>46</v>
      </c>
    </row>
    <row r="259" spans="1:22" x14ac:dyDescent="0.2">
      <c r="A259">
        <v>1000004366</v>
      </c>
      <c r="B259" t="s">
        <v>108</v>
      </c>
      <c r="C259">
        <v>9000021028</v>
      </c>
      <c r="D259" t="s">
        <v>109</v>
      </c>
      <c r="E259" t="s">
        <v>38</v>
      </c>
      <c r="F259">
        <v>2026</v>
      </c>
      <c r="G259">
        <v>7</v>
      </c>
      <c r="H259">
        <v>0</v>
      </c>
      <c r="I259" t="s">
        <v>39</v>
      </c>
      <c r="J259" t="s">
        <v>47</v>
      </c>
      <c r="L259" t="s">
        <v>51</v>
      </c>
      <c r="M259" t="s">
        <v>42</v>
      </c>
      <c r="O259" t="s">
        <v>48</v>
      </c>
      <c r="P259" t="s">
        <v>52</v>
      </c>
      <c r="Q259" t="s">
        <v>45</v>
      </c>
      <c r="R259">
        <v>0.09</v>
      </c>
      <c r="S259">
        <v>166</v>
      </c>
      <c r="T259">
        <v>14.94</v>
      </c>
      <c r="U259">
        <v>46268.655147939811</v>
      </c>
      <c r="V259" t="s">
        <v>53</v>
      </c>
    </row>
    <row r="260" spans="1:22" x14ac:dyDescent="0.2">
      <c r="A260">
        <v>1000004366</v>
      </c>
      <c r="B260" t="s">
        <v>108</v>
      </c>
      <c r="C260">
        <v>9000021028</v>
      </c>
      <c r="D260" t="s">
        <v>109</v>
      </c>
      <c r="E260" t="s">
        <v>38</v>
      </c>
      <c r="F260">
        <v>2026</v>
      </c>
      <c r="G260">
        <v>7</v>
      </c>
      <c r="H260">
        <v>0</v>
      </c>
      <c r="I260" t="s">
        <v>39</v>
      </c>
      <c r="J260" t="s">
        <v>47</v>
      </c>
      <c r="L260" t="s">
        <v>54</v>
      </c>
      <c r="M260" t="s">
        <v>42</v>
      </c>
      <c r="O260" t="s">
        <v>48</v>
      </c>
      <c r="P260" t="s">
        <v>55</v>
      </c>
      <c r="Q260" t="s">
        <v>45</v>
      </c>
      <c r="R260">
        <v>0.47</v>
      </c>
      <c r="S260">
        <v>166</v>
      </c>
      <c r="T260">
        <v>78.02</v>
      </c>
      <c r="U260">
        <v>46268.655147939811</v>
      </c>
      <c r="V260" t="s">
        <v>50</v>
      </c>
    </row>
    <row r="261" spans="1:22" x14ac:dyDescent="0.2">
      <c r="A261">
        <v>1000004366</v>
      </c>
      <c r="B261" t="s">
        <v>108</v>
      </c>
      <c r="C261">
        <v>9000021028</v>
      </c>
      <c r="D261" t="s">
        <v>109</v>
      </c>
      <c r="E261" t="s">
        <v>38</v>
      </c>
      <c r="F261">
        <v>2026</v>
      </c>
      <c r="G261">
        <v>7</v>
      </c>
      <c r="H261">
        <v>0</v>
      </c>
      <c r="I261" t="s">
        <v>39</v>
      </c>
      <c r="J261" t="s">
        <v>40</v>
      </c>
      <c r="L261" t="s">
        <v>65</v>
      </c>
      <c r="M261" t="s">
        <v>56</v>
      </c>
      <c r="O261" t="s">
        <v>67</v>
      </c>
      <c r="P261" t="s">
        <v>44</v>
      </c>
      <c r="Q261" t="s">
        <v>45</v>
      </c>
      <c r="R261">
        <v>2.63</v>
      </c>
      <c r="S261">
        <v>132</v>
      </c>
      <c r="T261">
        <v>347.16</v>
      </c>
      <c r="U261">
        <v>46268.655147939811</v>
      </c>
      <c r="V261" t="s">
        <v>68</v>
      </c>
    </row>
    <row r="262" spans="1:22" x14ac:dyDescent="0.2">
      <c r="A262">
        <v>1000004366</v>
      </c>
      <c r="B262" t="s">
        <v>108</v>
      </c>
      <c r="C262">
        <v>9000021028</v>
      </c>
      <c r="D262" t="s">
        <v>109</v>
      </c>
      <c r="E262" t="s">
        <v>38</v>
      </c>
      <c r="F262">
        <v>2026</v>
      </c>
      <c r="G262">
        <v>7</v>
      </c>
      <c r="H262">
        <v>0</v>
      </c>
      <c r="I262" t="s">
        <v>39</v>
      </c>
      <c r="J262" t="s">
        <v>47</v>
      </c>
      <c r="L262" t="s">
        <v>65</v>
      </c>
      <c r="M262" t="s">
        <v>56</v>
      </c>
      <c r="O262" t="s">
        <v>57</v>
      </c>
      <c r="P262" t="s">
        <v>44</v>
      </c>
      <c r="Q262" t="s">
        <v>45</v>
      </c>
      <c r="R262">
        <v>4.4349999999999996</v>
      </c>
      <c r="S262">
        <v>166</v>
      </c>
      <c r="T262">
        <v>736.21</v>
      </c>
      <c r="U262">
        <v>46268.655147939811</v>
      </c>
      <c r="V262" t="s">
        <v>58</v>
      </c>
    </row>
    <row r="263" spans="1:22" x14ac:dyDescent="0.2">
      <c r="A263">
        <v>1000004366</v>
      </c>
      <c r="B263" t="s">
        <v>108</v>
      </c>
      <c r="C263">
        <v>1000003177</v>
      </c>
      <c r="D263" t="s">
        <v>110</v>
      </c>
      <c r="E263" t="s">
        <v>38</v>
      </c>
      <c r="F263">
        <v>2026</v>
      </c>
      <c r="G263">
        <v>7</v>
      </c>
      <c r="H263">
        <v>0</v>
      </c>
      <c r="I263" t="s">
        <v>39</v>
      </c>
      <c r="J263" t="s">
        <v>40</v>
      </c>
      <c r="L263" t="s">
        <v>41</v>
      </c>
      <c r="M263" t="s">
        <v>42</v>
      </c>
      <c r="O263" t="s">
        <v>43</v>
      </c>
      <c r="P263" t="s">
        <v>44</v>
      </c>
      <c r="Q263" t="s">
        <v>45</v>
      </c>
      <c r="R263">
        <v>3.05</v>
      </c>
      <c r="S263">
        <v>1028</v>
      </c>
      <c r="T263">
        <v>3135.4</v>
      </c>
      <c r="U263">
        <v>46268.655147939811</v>
      </c>
      <c r="V263" t="s">
        <v>46</v>
      </c>
    </row>
    <row r="264" spans="1:22" x14ac:dyDescent="0.2">
      <c r="A264">
        <v>1000004366</v>
      </c>
      <c r="B264" t="s">
        <v>108</v>
      </c>
      <c r="C264">
        <v>1000003177</v>
      </c>
      <c r="D264" t="s">
        <v>110</v>
      </c>
      <c r="E264" t="s">
        <v>38</v>
      </c>
      <c r="F264">
        <v>2026</v>
      </c>
      <c r="G264">
        <v>7</v>
      </c>
      <c r="H264">
        <v>0</v>
      </c>
      <c r="I264" t="s">
        <v>39</v>
      </c>
      <c r="J264" t="s">
        <v>47</v>
      </c>
      <c r="L264" t="s">
        <v>41</v>
      </c>
      <c r="M264" t="s">
        <v>42</v>
      </c>
      <c r="O264" t="s">
        <v>48</v>
      </c>
      <c r="P264" t="s">
        <v>49</v>
      </c>
      <c r="Q264" t="s">
        <v>45</v>
      </c>
      <c r="R264">
        <v>4.3099999999999996</v>
      </c>
      <c r="S264">
        <v>944</v>
      </c>
      <c r="T264">
        <v>4068.64</v>
      </c>
      <c r="U264">
        <v>46268.655147939811</v>
      </c>
      <c r="V264" t="s">
        <v>50</v>
      </c>
    </row>
    <row r="265" spans="1:22" x14ac:dyDescent="0.2">
      <c r="A265">
        <v>1000004366</v>
      </c>
      <c r="B265" t="s">
        <v>108</v>
      </c>
      <c r="C265">
        <v>1000003177</v>
      </c>
      <c r="D265" t="s">
        <v>110</v>
      </c>
      <c r="E265" t="s">
        <v>38</v>
      </c>
      <c r="F265">
        <v>2026</v>
      </c>
      <c r="G265">
        <v>7</v>
      </c>
      <c r="H265">
        <v>0</v>
      </c>
      <c r="I265" t="s">
        <v>39</v>
      </c>
      <c r="J265" t="s">
        <v>47</v>
      </c>
      <c r="L265" t="s">
        <v>51</v>
      </c>
      <c r="M265" t="s">
        <v>42</v>
      </c>
      <c r="O265" t="s">
        <v>48</v>
      </c>
      <c r="P265" t="s">
        <v>52</v>
      </c>
      <c r="Q265" t="s">
        <v>45</v>
      </c>
      <c r="R265">
        <v>0.09</v>
      </c>
      <c r="S265">
        <v>944</v>
      </c>
      <c r="T265">
        <v>84.96</v>
      </c>
      <c r="U265">
        <v>46268.655147939811</v>
      </c>
      <c r="V265" t="s">
        <v>53</v>
      </c>
    </row>
    <row r="266" spans="1:22" x14ac:dyDescent="0.2">
      <c r="A266">
        <v>1000004366</v>
      </c>
      <c r="B266" t="s">
        <v>108</v>
      </c>
      <c r="C266">
        <v>1000003177</v>
      </c>
      <c r="D266" t="s">
        <v>110</v>
      </c>
      <c r="E266" t="s">
        <v>38</v>
      </c>
      <c r="F266">
        <v>2026</v>
      </c>
      <c r="G266">
        <v>7</v>
      </c>
      <c r="H266">
        <v>0</v>
      </c>
      <c r="I266" t="s">
        <v>39</v>
      </c>
      <c r="J266" t="s">
        <v>47</v>
      </c>
      <c r="L266" t="s">
        <v>54</v>
      </c>
      <c r="M266" t="s">
        <v>42</v>
      </c>
      <c r="O266" t="s">
        <v>48</v>
      </c>
      <c r="P266" t="s">
        <v>55</v>
      </c>
      <c r="Q266" t="s">
        <v>45</v>
      </c>
      <c r="R266">
        <v>0.47</v>
      </c>
      <c r="S266">
        <v>944</v>
      </c>
      <c r="T266">
        <v>443.68</v>
      </c>
      <c r="U266">
        <v>46268.655147939811</v>
      </c>
      <c r="V266" t="s">
        <v>50</v>
      </c>
    </row>
    <row r="267" spans="1:22" x14ac:dyDescent="0.2">
      <c r="A267">
        <v>1000004366</v>
      </c>
      <c r="B267" t="s">
        <v>108</v>
      </c>
      <c r="C267">
        <v>1000003177</v>
      </c>
      <c r="D267" t="s">
        <v>110</v>
      </c>
      <c r="E267" t="s">
        <v>38</v>
      </c>
      <c r="F267">
        <v>2026</v>
      </c>
      <c r="G267">
        <v>7</v>
      </c>
      <c r="H267">
        <v>0</v>
      </c>
      <c r="I267" t="s">
        <v>39</v>
      </c>
      <c r="J267" t="s">
        <v>47</v>
      </c>
      <c r="L267" t="s">
        <v>41</v>
      </c>
      <c r="M267" t="s">
        <v>56</v>
      </c>
      <c r="O267" t="s">
        <v>57</v>
      </c>
      <c r="P267" t="s">
        <v>44</v>
      </c>
      <c r="Q267" t="s">
        <v>45</v>
      </c>
      <c r="R267">
        <v>0.125</v>
      </c>
      <c r="S267">
        <v>944</v>
      </c>
      <c r="T267">
        <v>118</v>
      </c>
      <c r="U267">
        <v>46268.655147939811</v>
      </c>
      <c r="V267" t="s">
        <v>58</v>
      </c>
    </row>
    <row r="268" spans="1:22" x14ac:dyDescent="0.2">
      <c r="A268">
        <v>1000004414</v>
      </c>
      <c r="B268" t="s">
        <v>111</v>
      </c>
      <c r="C268">
        <v>1000005103</v>
      </c>
      <c r="D268" t="s">
        <v>112</v>
      </c>
      <c r="E268" t="s">
        <v>38</v>
      </c>
      <c r="F268">
        <v>2026</v>
      </c>
      <c r="G268">
        <v>7</v>
      </c>
      <c r="H268">
        <v>0</v>
      </c>
      <c r="I268" t="s">
        <v>39</v>
      </c>
      <c r="J268" t="s">
        <v>62</v>
      </c>
      <c r="L268" t="s">
        <v>41</v>
      </c>
      <c r="M268" t="s">
        <v>42</v>
      </c>
      <c r="O268" t="s">
        <v>48</v>
      </c>
      <c r="P268" t="s">
        <v>63</v>
      </c>
      <c r="Q268" t="s">
        <v>45</v>
      </c>
      <c r="R268">
        <v>1.3</v>
      </c>
      <c r="S268">
        <v>1088</v>
      </c>
      <c r="T268">
        <v>1414.4</v>
      </c>
      <c r="U268">
        <v>46268.655147939811</v>
      </c>
      <c r="V268" t="s">
        <v>44</v>
      </c>
    </row>
    <row r="269" spans="1:22" x14ac:dyDescent="0.2">
      <c r="A269">
        <v>1000004414</v>
      </c>
      <c r="B269" t="s">
        <v>111</v>
      </c>
      <c r="C269">
        <v>1000005103</v>
      </c>
      <c r="D269" t="s">
        <v>112</v>
      </c>
      <c r="E269" t="s">
        <v>38</v>
      </c>
      <c r="F269">
        <v>2026</v>
      </c>
      <c r="G269">
        <v>7</v>
      </c>
      <c r="H269">
        <v>0</v>
      </c>
      <c r="I269" t="s">
        <v>39</v>
      </c>
      <c r="J269" t="s">
        <v>40</v>
      </c>
      <c r="L269" t="s">
        <v>41</v>
      </c>
      <c r="M269" t="s">
        <v>42</v>
      </c>
      <c r="O269" t="s">
        <v>43</v>
      </c>
      <c r="P269" t="s">
        <v>44</v>
      </c>
      <c r="Q269" t="s">
        <v>45</v>
      </c>
      <c r="R269">
        <v>3.05</v>
      </c>
      <c r="S269">
        <v>1081</v>
      </c>
      <c r="T269">
        <v>3297.05</v>
      </c>
      <c r="U269">
        <v>46268.655147939811</v>
      </c>
      <c r="V269" t="s">
        <v>46</v>
      </c>
    </row>
    <row r="270" spans="1:22" x14ac:dyDescent="0.2">
      <c r="A270">
        <v>1000004414</v>
      </c>
      <c r="B270" t="s">
        <v>111</v>
      </c>
      <c r="C270">
        <v>1000005103</v>
      </c>
      <c r="D270" t="s">
        <v>112</v>
      </c>
      <c r="E270" t="s">
        <v>38</v>
      </c>
      <c r="F270">
        <v>2026</v>
      </c>
      <c r="G270">
        <v>7</v>
      </c>
      <c r="H270">
        <v>0</v>
      </c>
      <c r="I270" t="s">
        <v>39</v>
      </c>
      <c r="J270" t="s">
        <v>47</v>
      </c>
      <c r="L270" t="s">
        <v>41</v>
      </c>
      <c r="M270" t="s">
        <v>42</v>
      </c>
      <c r="O270" t="s">
        <v>48</v>
      </c>
      <c r="P270" t="s">
        <v>49</v>
      </c>
      <c r="Q270" t="s">
        <v>45</v>
      </c>
      <c r="R270">
        <v>4.3099999999999996</v>
      </c>
      <c r="S270">
        <v>1083</v>
      </c>
      <c r="T270">
        <v>4667.7299999999996</v>
      </c>
      <c r="U270">
        <v>46268.655147939811</v>
      </c>
      <c r="V270" t="s">
        <v>50</v>
      </c>
    </row>
    <row r="271" spans="1:22" x14ac:dyDescent="0.2">
      <c r="A271">
        <v>1000004414</v>
      </c>
      <c r="B271" t="s">
        <v>111</v>
      </c>
      <c r="C271">
        <v>1000005103</v>
      </c>
      <c r="D271" t="s">
        <v>112</v>
      </c>
      <c r="E271" t="s">
        <v>38</v>
      </c>
      <c r="F271">
        <v>2026</v>
      </c>
      <c r="G271">
        <v>7</v>
      </c>
      <c r="H271">
        <v>0</v>
      </c>
      <c r="I271" t="s">
        <v>39</v>
      </c>
      <c r="J271" t="s">
        <v>47</v>
      </c>
      <c r="L271" t="s">
        <v>51</v>
      </c>
      <c r="M271" t="s">
        <v>42</v>
      </c>
      <c r="O271" t="s">
        <v>48</v>
      </c>
      <c r="P271" t="s">
        <v>52</v>
      </c>
      <c r="Q271" t="s">
        <v>45</v>
      </c>
      <c r="R271">
        <v>0.09</v>
      </c>
      <c r="S271">
        <v>1083</v>
      </c>
      <c r="T271">
        <v>97.47</v>
      </c>
      <c r="U271">
        <v>46268.655147939811</v>
      </c>
      <c r="V271" t="s">
        <v>53</v>
      </c>
    </row>
    <row r="272" spans="1:22" x14ac:dyDescent="0.2">
      <c r="A272">
        <v>1000004414</v>
      </c>
      <c r="B272" t="s">
        <v>111</v>
      </c>
      <c r="C272">
        <v>1000005103</v>
      </c>
      <c r="D272" t="s">
        <v>112</v>
      </c>
      <c r="E272" t="s">
        <v>38</v>
      </c>
      <c r="F272">
        <v>2026</v>
      </c>
      <c r="G272">
        <v>7</v>
      </c>
      <c r="H272">
        <v>0</v>
      </c>
      <c r="I272" t="s">
        <v>39</v>
      </c>
      <c r="J272" t="s">
        <v>47</v>
      </c>
      <c r="L272" t="s">
        <v>54</v>
      </c>
      <c r="M272" t="s">
        <v>42</v>
      </c>
      <c r="O272" t="s">
        <v>48</v>
      </c>
      <c r="P272" t="s">
        <v>55</v>
      </c>
      <c r="Q272" t="s">
        <v>45</v>
      </c>
      <c r="R272">
        <v>0.47</v>
      </c>
      <c r="S272">
        <v>1083</v>
      </c>
      <c r="T272">
        <v>509.01</v>
      </c>
      <c r="U272">
        <v>46268.655147939811</v>
      </c>
      <c r="V272" t="s">
        <v>50</v>
      </c>
    </row>
    <row r="273" spans="1:22" x14ac:dyDescent="0.2">
      <c r="A273">
        <v>1000004414</v>
      </c>
      <c r="B273" t="s">
        <v>111</v>
      </c>
      <c r="C273">
        <v>1000005103</v>
      </c>
      <c r="D273" t="s">
        <v>112</v>
      </c>
      <c r="E273" t="s">
        <v>38</v>
      </c>
      <c r="F273">
        <v>2026</v>
      </c>
      <c r="G273">
        <v>7</v>
      </c>
      <c r="H273">
        <v>0</v>
      </c>
      <c r="I273" t="s">
        <v>39</v>
      </c>
      <c r="J273" t="s">
        <v>47</v>
      </c>
      <c r="L273" t="s">
        <v>41</v>
      </c>
      <c r="M273" t="s">
        <v>56</v>
      </c>
      <c r="O273" t="s">
        <v>57</v>
      </c>
      <c r="P273" t="s">
        <v>44</v>
      </c>
      <c r="Q273" t="s">
        <v>45</v>
      </c>
      <c r="R273">
        <v>0.125</v>
      </c>
      <c r="S273">
        <v>1083</v>
      </c>
      <c r="T273">
        <v>135.37</v>
      </c>
      <c r="U273">
        <v>46268.655147939811</v>
      </c>
      <c r="V273" t="s">
        <v>58</v>
      </c>
    </row>
    <row r="274" spans="1:22" x14ac:dyDescent="0.2">
      <c r="A274">
        <v>1000003994</v>
      </c>
      <c r="B274" t="s">
        <v>113</v>
      </c>
      <c r="C274">
        <v>1000002194</v>
      </c>
      <c r="D274" t="s">
        <v>114</v>
      </c>
      <c r="E274" t="s">
        <v>38</v>
      </c>
      <c r="F274">
        <v>2026</v>
      </c>
      <c r="G274">
        <v>7</v>
      </c>
      <c r="H274">
        <v>0</v>
      </c>
      <c r="I274" t="s">
        <v>39</v>
      </c>
      <c r="J274" t="s">
        <v>40</v>
      </c>
      <c r="L274" t="s">
        <v>41</v>
      </c>
      <c r="M274" t="s">
        <v>42</v>
      </c>
      <c r="O274" t="s">
        <v>43</v>
      </c>
      <c r="P274" t="s">
        <v>44</v>
      </c>
      <c r="Q274" t="s">
        <v>45</v>
      </c>
      <c r="R274">
        <v>2.54</v>
      </c>
      <c r="S274">
        <v>827</v>
      </c>
      <c r="T274">
        <v>2100.58</v>
      </c>
      <c r="U274">
        <v>46268.655147939811</v>
      </c>
      <c r="V274" t="s">
        <v>72</v>
      </c>
    </row>
    <row r="275" spans="1:22" x14ac:dyDescent="0.2">
      <c r="A275">
        <v>1000003994</v>
      </c>
      <c r="B275" t="s">
        <v>113</v>
      </c>
      <c r="C275">
        <v>1000002194</v>
      </c>
      <c r="D275" t="s">
        <v>114</v>
      </c>
      <c r="E275" t="s">
        <v>38</v>
      </c>
      <c r="F275">
        <v>2026</v>
      </c>
      <c r="G275">
        <v>7</v>
      </c>
      <c r="H275">
        <v>0</v>
      </c>
      <c r="I275" t="s">
        <v>39</v>
      </c>
      <c r="J275" t="s">
        <v>40</v>
      </c>
      <c r="L275" t="s">
        <v>64</v>
      </c>
      <c r="M275" t="s">
        <v>42</v>
      </c>
      <c r="O275" t="s">
        <v>43</v>
      </c>
      <c r="P275" t="s">
        <v>44</v>
      </c>
      <c r="Q275" t="s">
        <v>45</v>
      </c>
      <c r="R275">
        <v>2.2400000000000002</v>
      </c>
      <c r="S275">
        <v>108</v>
      </c>
      <c r="T275">
        <v>241.92</v>
      </c>
      <c r="U275">
        <v>46268.655147939811</v>
      </c>
      <c r="V275" t="s">
        <v>72</v>
      </c>
    </row>
    <row r="276" spans="1:22" x14ac:dyDescent="0.2">
      <c r="A276">
        <v>1000003994</v>
      </c>
      <c r="B276" t="s">
        <v>113</v>
      </c>
      <c r="C276">
        <v>1000002194</v>
      </c>
      <c r="D276" t="s">
        <v>114</v>
      </c>
      <c r="E276" t="s">
        <v>38</v>
      </c>
      <c r="F276">
        <v>2026</v>
      </c>
      <c r="G276">
        <v>7</v>
      </c>
      <c r="H276">
        <v>0</v>
      </c>
      <c r="I276" t="s">
        <v>39</v>
      </c>
      <c r="J276" t="s">
        <v>40</v>
      </c>
      <c r="L276" t="s">
        <v>65</v>
      </c>
      <c r="M276" t="s">
        <v>42</v>
      </c>
      <c r="O276" t="s">
        <v>43</v>
      </c>
      <c r="P276" t="s">
        <v>44</v>
      </c>
      <c r="Q276" t="s">
        <v>45</v>
      </c>
      <c r="R276">
        <v>0.42</v>
      </c>
      <c r="S276">
        <v>664</v>
      </c>
      <c r="T276">
        <v>278.88</v>
      </c>
      <c r="U276">
        <v>46268.655147939811</v>
      </c>
      <c r="V276" t="s">
        <v>72</v>
      </c>
    </row>
    <row r="277" spans="1:22" x14ac:dyDescent="0.2">
      <c r="A277">
        <v>1000003994</v>
      </c>
      <c r="B277" t="s">
        <v>113</v>
      </c>
      <c r="C277">
        <v>1000002194</v>
      </c>
      <c r="D277" t="s">
        <v>114</v>
      </c>
      <c r="E277" t="s">
        <v>38</v>
      </c>
      <c r="F277">
        <v>2026</v>
      </c>
      <c r="G277">
        <v>7</v>
      </c>
      <c r="H277">
        <v>0</v>
      </c>
      <c r="I277" t="s">
        <v>39</v>
      </c>
      <c r="J277" t="s">
        <v>47</v>
      </c>
      <c r="L277" t="s">
        <v>41</v>
      </c>
      <c r="M277" t="s">
        <v>42</v>
      </c>
      <c r="O277" t="s">
        <v>48</v>
      </c>
      <c r="P277" t="s">
        <v>49</v>
      </c>
      <c r="Q277" t="s">
        <v>45</v>
      </c>
      <c r="R277">
        <v>4.3099999999999996</v>
      </c>
      <c r="S277">
        <v>1174</v>
      </c>
      <c r="T277">
        <v>5059.9399999999996</v>
      </c>
      <c r="U277">
        <v>46268.655147939811</v>
      </c>
      <c r="V277" t="s">
        <v>66</v>
      </c>
    </row>
    <row r="278" spans="1:22" x14ac:dyDescent="0.2">
      <c r="A278">
        <v>1000003994</v>
      </c>
      <c r="B278" t="s">
        <v>113</v>
      </c>
      <c r="C278">
        <v>1000002194</v>
      </c>
      <c r="D278" t="s">
        <v>114</v>
      </c>
      <c r="E278" t="s">
        <v>38</v>
      </c>
      <c r="F278">
        <v>2026</v>
      </c>
      <c r="G278">
        <v>7</v>
      </c>
      <c r="H278">
        <v>0</v>
      </c>
      <c r="I278" t="s">
        <v>39</v>
      </c>
      <c r="J278" t="s">
        <v>47</v>
      </c>
      <c r="L278" t="s">
        <v>51</v>
      </c>
      <c r="M278" t="s">
        <v>42</v>
      </c>
      <c r="O278" t="s">
        <v>48</v>
      </c>
      <c r="P278" t="s">
        <v>52</v>
      </c>
      <c r="Q278" t="s">
        <v>45</v>
      </c>
      <c r="R278">
        <v>0.09</v>
      </c>
      <c r="S278">
        <v>2328</v>
      </c>
      <c r="T278">
        <v>209.52</v>
      </c>
      <c r="U278">
        <v>46268.655147939811</v>
      </c>
      <c r="V278" t="s">
        <v>53</v>
      </c>
    </row>
    <row r="279" spans="1:22" x14ac:dyDescent="0.2">
      <c r="A279">
        <v>1000003994</v>
      </c>
      <c r="B279" t="s">
        <v>113</v>
      </c>
      <c r="C279">
        <v>1000002194</v>
      </c>
      <c r="D279" t="s">
        <v>114</v>
      </c>
      <c r="E279" t="s">
        <v>38</v>
      </c>
      <c r="F279">
        <v>2026</v>
      </c>
      <c r="G279">
        <v>7</v>
      </c>
      <c r="H279">
        <v>0</v>
      </c>
      <c r="I279" t="s">
        <v>39</v>
      </c>
      <c r="J279" t="s">
        <v>47</v>
      </c>
      <c r="L279" t="s">
        <v>64</v>
      </c>
      <c r="M279" t="s">
        <v>42</v>
      </c>
      <c r="O279" t="s">
        <v>48</v>
      </c>
      <c r="P279" t="s">
        <v>49</v>
      </c>
      <c r="Q279" t="s">
        <v>45</v>
      </c>
      <c r="R279">
        <v>3.91</v>
      </c>
      <c r="S279">
        <v>158</v>
      </c>
      <c r="T279">
        <v>617.78</v>
      </c>
      <c r="U279">
        <v>46268.655147939811</v>
      </c>
      <c r="V279" t="s">
        <v>66</v>
      </c>
    </row>
    <row r="280" spans="1:22" x14ac:dyDescent="0.2">
      <c r="A280">
        <v>1000003994</v>
      </c>
      <c r="B280" t="s">
        <v>113</v>
      </c>
      <c r="C280">
        <v>1000002194</v>
      </c>
      <c r="D280" t="s">
        <v>114</v>
      </c>
      <c r="E280" t="s">
        <v>38</v>
      </c>
      <c r="F280">
        <v>2026</v>
      </c>
      <c r="G280">
        <v>7</v>
      </c>
      <c r="H280">
        <v>0</v>
      </c>
      <c r="I280" t="s">
        <v>39</v>
      </c>
      <c r="J280" t="s">
        <v>47</v>
      </c>
      <c r="L280" t="s">
        <v>54</v>
      </c>
      <c r="M280" t="s">
        <v>42</v>
      </c>
      <c r="O280" t="s">
        <v>48</v>
      </c>
      <c r="P280" t="s">
        <v>55</v>
      </c>
      <c r="Q280" t="s">
        <v>45</v>
      </c>
      <c r="R280">
        <v>0.45</v>
      </c>
      <c r="S280">
        <v>2328</v>
      </c>
      <c r="T280">
        <v>1047.5999999999999</v>
      </c>
      <c r="U280">
        <v>46268.655147939811</v>
      </c>
      <c r="V280" t="s">
        <v>66</v>
      </c>
    </row>
    <row r="281" spans="1:22" x14ac:dyDescent="0.2">
      <c r="A281">
        <v>1000003994</v>
      </c>
      <c r="B281" t="s">
        <v>113</v>
      </c>
      <c r="C281">
        <v>1000002194</v>
      </c>
      <c r="D281" t="s">
        <v>114</v>
      </c>
      <c r="E281" t="s">
        <v>38</v>
      </c>
      <c r="F281">
        <v>2026</v>
      </c>
      <c r="G281">
        <v>7</v>
      </c>
      <c r="H281">
        <v>0</v>
      </c>
      <c r="I281" t="s">
        <v>39</v>
      </c>
      <c r="J281" t="s">
        <v>40</v>
      </c>
      <c r="L281" t="s">
        <v>64</v>
      </c>
      <c r="M281" t="s">
        <v>56</v>
      </c>
      <c r="O281" t="s">
        <v>67</v>
      </c>
      <c r="P281" t="s">
        <v>44</v>
      </c>
      <c r="Q281" t="s">
        <v>45</v>
      </c>
      <c r="R281">
        <v>0.3</v>
      </c>
      <c r="S281">
        <v>108</v>
      </c>
      <c r="T281">
        <v>32.4</v>
      </c>
      <c r="U281">
        <v>46268.655147939811</v>
      </c>
      <c r="V281" t="s">
        <v>58</v>
      </c>
    </row>
    <row r="282" spans="1:22" x14ac:dyDescent="0.2">
      <c r="A282">
        <v>1000003994</v>
      </c>
      <c r="B282" t="s">
        <v>113</v>
      </c>
      <c r="C282">
        <v>1000002194</v>
      </c>
      <c r="D282" t="s">
        <v>114</v>
      </c>
      <c r="E282" t="s">
        <v>38</v>
      </c>
      <c r="F282">
        <v>2026</v>
      </c>
      <c r="G282">
        <v>7</v>
      </c>
      <c r="H282">
        <v>0</v>
      </c>
      <c r="I282" t="s">
        <v>39</v>
      </c>
      <c r="J282" t="s">
        <v>40</v>
      </c>
      <c r="L282" t="s">
        <v>65</v>
      </c>
      <c r="M282" t="s">
        <v>56</v>
      </c>
      <c r="O282" t="s">
        <v>67</v>
      </c>
      <c r="P282" t="s">
        <v>44</v>
      </c>
      <c r="Q282" t="s">
        <v>45</v>
      </c>
      <c r="R282">
        <v>2.12</v>
      </c>
      <c r="S282">
        <v>664</v>
      </c>
      <c r="T282">
        <v>1407.68</v>
      </c>
      <c r="U282">
        <v>46268.655147939811</v>
      </c>
      <c r="V282" t="s">
        <v>73</v>
      </c>
    </row>
    <row r="283" spans="1:22" x14ac:dyDescent="0.2">
      <c r="A283">
        <v>1000003994</v>
      </c>
      <c r="B283" t="s">
        <v>113</v>
      </c>
      <c r="C283">
        <v>1000002194</v>
      </c>
      <c r="D283" t="s">
        <v>114</v>
      </c>
      <c r="E283" t="s">
        <v>38</v>
      </c>
      <c r="F283">
        <v>2026</v>
      </c>
      <c r="G283">
        <v>7</v>
      </c>
      <c r="H283">
        <v>0</v>
      </c>
      <c r="I283" t="s">
        <v>39</v>
      </c>
      <c r="J283" t="s">
        <v>47</v>
      </c>
      <c r="L283" t="s">
        <v>41</v>
      </c>
      <c r="M283" t="s">
        <v>56</v>
      </c>
      <c r="O283" t="s">
        <v>57</v>
      </c>
      <c r="P283" t="s">
        <v>44</v>
      </c>
      <c r="Q283" t="s">
        <v>45</v>
      </c>
      <c r="R283">
        <v>0.125</v>
      </c>
      <c r="S283">
        <v>1174</v>
      </c>
      <c r="T283">
        <v>146.75</v>
      </c>
      <c r="U283">
        <v>46268.655147939811</v>
      </c>
      <c r="V283" t="s">
        <v>58</v>
      </c>
    </row>
    <row r="284" spans="1:22" x14ac:dyDescent="0.2">
      <c r="A284">
        <v>1000003994</v>
      </c>
      <c r="B284" t="s">
        <v>113</v>
      </c>
      <c r="C284">
        <v>1000002194</v>
      </c>
      <c r="D284" t="s">
        <v>114</v>
      </c>
      <c r="E284" t="s">
        <v>38</v>
      </c>
      <c r="F284">
        <v>2026</v>
      </c>
      <c r="G284">
        <v>7</v>
      </c>
      <c r="H284">
        <v>0</v>
      </c>
      <c r="I284" t="s">
        <v>39</v>
      </c>
      <c r="J284" t="s">
        <v>47</v>
      </c>
      <c r="L284" t="s">
        <v>64</v>
      </c>
      <c r="M284" t="s">
        <v>56</v>
      </c>
      <c r="O284" t="s">
        <v>57</v>
      </c>
      <c r="P284" t="s">
        <v>44</v>
      </c>
      <c r="Q284" t="s">
        <v>45</v>
      </c>
      <c r="R284">
        <v>0.52500000000000002</v>
      </c>
      <c r="S284">
        <v>158</v>
      </c>
      <c r="T284">
        <v>82.95</v>
      </c>
      <c r="U284">
        <v>46268.655147939811</v>
      </c>
      <c r="V284" t="s">
        <v>58</v>
      </c>
    </row>
    <row r="285" spans="1:22" x14ac:dyDescent="0.2">
      <c r="A285">
        <v>1000003994</v>
      </c>
      <c r="B285" t="s">
        <v>113</v>
      </c>
      <c r="C285">
        <v>1000002194</v>
      </c>
      <c r="D285" t="s">
        <v>114</v>
      </c>
      <c r="E285" t="s">
        <v>38</v>
      </c>
      <c r="F285">
        <v>2026</v>
      </c>
      <c r="G285">
        <v>7</v>
      </c>
      <c r="H285">
        <v>0</v>
      </c>
      <c r="I285" t="s">
        <v>39</v>
      </c>
      <c r="J285" t="s">
        <v>47</v>
      </c>
      <c r="L285" t="s">
        <v>65</v>
      </c>
      <c r="M285" t="s">
        <v>56</v>
      </c>
      <c r="O285" t="s">
        <v>57</v>
      </c>
      <c r="P285" t="s">
        <v>44</v>
      </c>
      <c r="Q285" t="s">
        <v>45</v>
      </c>
      <c r="R285">
        <v>4.4349999999999996</v>
      </c>
      <c r="S285">
        <v>996</v>
      </c>
      <c r="T285">
        <v>4417.26</v>
      </c>
      <c r="U285">
        <v>46268.655147939811</v>
      </c>
      <c r="V285" t="s">
        <v>58</v>
      </c>
    </row>
    <row r="286" spans="1:22" x14ac:dyDescent="0.2">
      <c r="A286">
        <v>1000003994</v>
      </c>
      <c r="B286" t="s">
        <v>113</v>
      </c>
      <c r="C286">
        <v>1000006293</v>
      </c>
      <c r="D286" t="s">
        <v>115</v>
      </c>
      <c r="E286" t="s">
        <v>38</v>
      </c>
      <c r="F286">
        <v>2026</v>
      </c>
      <c r="G286">
        <v>7</v>
      </c>
      <c r="H286">
        <v>0</v>
      </c>
      <c r="I286" t="s">
        <v>39</v>
      </c>
      <c r="J286" t="s">
        <v>40</v>
      </c>
      <c r="L286" t="s">
        <v>41</v>
      </c>
      <c r="M286" t="s">
        <v>42</v>
      </c>
      <c r="O286" t="s">
        <v>43</v>
      </c>
      <c r="P286" t="s">
        <v>44</v>
      </c>
      <c r="Q286" t="s">
        <v>45</v>
      </c>
      <c r="R286">
        <v>2.54</v>
      </c>
      <c r="S286">
        <v>216</v>
      </c>
      <c r="T286">
        <v>548.64</v>
      </c>
      <c r="U286">
        <v>46268.655147939811</v>
      </c>
      <c r="V286" t="s">
        <v>72</v>
      </c>
    </row>
    <row r="287" spans="1:22" x14ac:dyDescent="0.2">
      <c r="A287">
        <v>1000003994</v>
      </c>
      <c r="B287" t="s">
        <v>113</v>
      </c>
      <c r="C287">
        <v>1000006293</v>
      </c>
      <c r="D287" t="s">
        <v>115</v>
      </c>
      <c r="E287" t="s">
        <v>38</v>
      </c>
      <c r="F287">
        <v>2026</v>
      </c>
      <c r="G287">
        <v>7</v>
      </c>
      <c r="H287">
        <v>0</v>
      </c>
      <c r="I287" t="s">
        <v>39</v>
      </c>
      <c r="J287" t="s">
        <v>40</v>
      </c>
      <c r="L287" t="s">
        <v>64</v>
      </c>
      <c r="M287" t="s">
        <v>42</v>
      </c>
      <c r="O287" t="s">
        <v>43</v>
      </c>
      <c r="P287" t="s">
        <v>44</v>
      </c>
      <c r="Q287" t="s">
        <v>45</v>
      </c>
      <c r="R287">
        <v>2.2400000000000002</v>
      </c>
      <c r="S287">
        <v>45</v>
      </c>
      <c r="T287">
        <v>100.8</v>
      </c>
      <c r="U287">
        <v>46268.655147939811</v>
      </c>
      <c r="V287" t="s">
        <v>72</v>
      </c>
    </row>
    <row r="288" spans="1:22" x14ac:dyDescent="0.2">
      <c r="A288">
        <v>1000003994</v>
      </c>
      <c r="B288" t="s">
        <v>113</v>
      </c>
      <c r="C288">
        <v>1000006293</v>
      </c>
      <c r="D288" t="s">
        <v>115</v>
      </c>
      <c r="E288" t="s">
        <v>38</v>
      </c>
      <c r="F288">
        <v>2026</v>
      </c>
      <c r="G288">
        <v>7</v>
      </c>
      <c r="H288">
        <v>0</v>
      </c>
      <c r="I288" t="s">
        <v>39</v>
      </c>
      <c r="J288" t="s">
        <v>40</v>
      </c>
      <c r="L288" t="s">
        <v>65</v>
      </c>
      <c r="M288" t="s">
        <v>42</v>
      </c>
      <c r="O288" t="s">
        <v>43</v>
      </c>
      <c r="P288" t="s">
        <v>44</v>
      </c>
      <c r="Q288" t="s">
        <v>45</v>
      </c>
      <c r="R288">
        <v>0.42</v>
      </c>
      <c r="S288">
        <v>106</v>
      </c>
      <c r="T288">
        <v>44.52</v>
      </c>
      <c r="U288">
        <v>46268.655147939811</v>
      </c>
      <c r="V288" t="s">
        <v>72</v>
      </c>
    </row>
    <row r="289" spans="1:22" x14ac:dyDescent="0.2">
      <c r="A289">
        <v>1000003994</v>
      </c>
      <c r="B289" t="s">
        <v>113</v>
      </c>
      <c r="C289">
        <v>1000006293</v>
      </c>
      <c r="D289" t="s">
        <v>115</v>
      </c>
      <c r="E289" t="s">
        <v>38</v>
      </c>
      <c r="F289">
        <v>2026</v>
      </c>
      <c r="G289">
        <v>7</v>
      </c>
      <c r="H289">
        <v>0</v>
      </c>
      <c r="I289" t="s">
        <v>39</v>
      </c>
      <c r="J289" t="s">
        <v>47</v>
      </c>
      <c r="L289" t="s">
        <v>41</v>
      </c>
      <c r="M289" t="s">
        <v>42</v>
      </c>
      <c r="O289" t="s">
        <v>48</v>
      </c>
      <c r="P289" t="s">
        <v>49</v>
      </c>
      <c r="Q289" t="s">
        <v>45</v>
      </c>
      <c r="R289">
        <v>4.3099999999999996</v>
      </c>
      <c r="S289">
        <v>432</v>
      </c>
      <c r="T289">
        <v>1861.92</v>
      </c>
      <c r="U289">
        <v>46268.655147939811</v>
      </c>
      <c r="V289" t="s">
        <v>66</v>
      </c>
    </row>
    <row r="290" spans="1:22" x14ac:dyDescent="0.2">
      <c r="A290">
        <v>1000003994</v>
      </c>
      <c r="B290" t="s">
        <v>113</v>
      </c>
      <c r="C290">
        <v>1000006293</v>
      </c>
      <c r="D290" t="s">
        <v>115</v>
      </c>
      <c r="E290" t="s">
        <v>38</v>
      </c>
      <c r="F290">
        <v>2026</v>
      </c>
      <c r="G290">
        <v>7</v>
      </c>
      <c r="H290">
        <v>0</v>
      </c>
      <c r="I290" t="s">
        <v>39</v>
      </c>
      <c r="J290" t="s">
        <v>47</v>
      </c>
      <c r="L290" t="s">
        <v>51</v>
      </c>
      <c r="M290" t="s">
        <v>42</v>
      </c>
      <c r="O290" t="s">
        <v>48</v>
      </c>
      <c r="P290" t="s">
        <v>52</v>
      </c>
      <c r="Q290" t="s">
        <v>45</v>
      </c>
      <c r="R290">
        <v>0.09</v>
      </c>
      <c r="S290">
        <v>769</v>
      </c>
      <c r="T290">
        <v>69.209999999999994</v>
      </c>
      <c r="U290">
        <v>46268.655147939811</v>
      </c>
      <c r="V290" t="s">
        <v>53</v>
      </c>
    </row>
    <row r="291" spans="1:22" x14ac:dyDescent="0.2">
      <c r="A291">
        <v>1000003994</v>
      </c>
      <c r="B291" t="s">
        <v>113</v>
      </c>
      <c r="C291">
        <v>1000006293</v>
      </c>
      <c r="D291" t="s">
        <v>115</v>
      </c>
      <c r="E291" t="s">
        <v>38</v>
      </c>
      <c r="F291">
        <v>2026</v>
      </c>
      <c r="G291">
        <v>7</v>
      </c>
      <c r="H291">
        <v>0</v>
      </c>
      <c r="I291" t="s">
        <v>39</v>
      </c>
      <c r="J291" t="s">
        <v>47</v>
      </c>
      <c r="L291" t="s">
        <v>64</v>
      </c>
      <c r="M291" t="s">
        <v>42</v>
      </c>
      <c r="O291" t="s">
        <v>48</v>
      </c>
      <c r="P291" t="s">
        <v>49</v>
      </c>
      <c r="Q291" t="s">
        <v>45</v>
      </c>
      <c r="R291">
        <v>3.91</v>
      </c>
      <c r="S291">
        <v>114</v>
      </c>
      <c r="T291">
        <v>445.74</v>
      </c>
      <c r="U291">
        <v>46268.655147939811</v>
      </c>
      <c r="V291" t="s">
        <v>66</v>
      </c>
    </row>
    <row r="292" spans="1:22" x14ac:dyDescent="0.2">
      <c r="A292">
        <v>1000003994</v>
      </c>
      <c r="B292" t="s">
        <v>113</v>
      </c>
      <c r="C292">
        <v>1000006293</v>
      </c>
      <c r="D292" t="s">
        <v>115</v>
      </c>
      <c r="E292" t="s">
        <v>38</v>
      </c>
      <c r="F292">
        <v>2026</v>
      </c>
      <c r="G292">
        <v>7</v>
      </c>
      <c r="H292">
        <v>0</v>
      </c>
      <c r="I292" t="s">
        <v>39</v>
      </c>
      <c r="J292" t="s">
        <v>47</v>
      </c>
      <c r="L292" t="s">
        <v>54</v>
      </c>
      <c r="M292" t="s">
        <v>42</v>
      </c>
      <c r="O292" t="s">
        <v>48</v>
      </c>
      <c r="P292" t="s">
        <v>55</v>
      </c>
      <c r="Q292" t="s">
        <v>45</v>
      </c>
      <c r="R292">
        <v>0.45</v>
      </c>
      <c r="S292">
        <v>769</v>
      </c>
      <c r="T292">
        <v>346.05</v>
      </c>
      <c r="U292">
        <v>46268.655147939811</v>
      </c>
      <c r="V292" t="s">
        <v>66</v>
      </c>
    </row>
    <row r="293" spans="1:22" x14ac:dyDescent="0.2">
      <c r="A293">
        <v>1000003994</v>
      </c>
      <c r="B293" t="s">
        <v>113</v>
      </c>
      <c r="C293">
        <v>1000006293</v>
      </c>
      <c r="D293" t="s">
        <v>115</v>
      </c>
      <c r="E293" t="s">
        <v>38</v>
      </c>
      <c r="F293">
        <v>2026</v>
      </c>
      <c r="G293">
        <v>7</v>
      </c>
      <c r="H293">
        <v>0</v>
      </c>
      <c r="I293" t="s">
        <v>39</v>
      </c>
      <c r="J293" t="s">
        <v>40</v>
      </c>
      <c r="L293" t="s">
        <v>64</v>
      </c>
      <c r="M293" t="s">
        <v>56</v>
      </c>
      <c r="O293" t="s">
        <v>67</v>
      </c>
      <c r="P293" t="s">
        <v>44</v>
      </c>
      <c r="Q293" t="s">
        <v>45</v>
      </c>
      <c r="R293">
        <v>0.3</v>
      </c>
      <c r="S293">
        <v>45</v>
      </c>
      <c r="T293">
        <v>13.5</v>
      </c>
      <c r="U293">
        <v>46268.655147939811</v>
      </c>
      <c r="V293" t="s">
        <v>58</v>
      </c>
    </row>
    <row r="294" spans="1:22" x14ac:dyDescent="0.2">
      <c r="A294">
        <v>1000003994</v>
      </c>
      <c r="B294" t="s">
        <v>113</v>
      </c>
      <c r="C294">
        <v>1000006293</v>
      </c>
      <c r="D294" t="s">
        <v>115</v>
      </c>
      <c r="E294" t="s">
        <v>38</v>
      </c>
      <c r="F294">
        <v>2026</v>
      </c>
      <c r="G294">
        <v>7</v>
      </c>
      <c r="H294">
        <v>0</v>
      </c>
      <c r="I294" t="s">
        <v>39</v>
      </c>
      <c r="J294" t="s">
        <v>40</v>
      </c>
      <c r="L294" t="s">
        <v>65</v>
      </c>
      <c r="M294" t="s">
        <v>56</v>
      </c>
      <c r="O294" t="s">
        <v>67</v>
      </c>
      <c r="P294" t="s">
        <v>44</v>
      </c>
      <c r="Q294" t="s">
        <v>45</v>
      </c>
      <c r="R294">
        <v>2.12</v>
      </c>
      <c r="S294">
        <v>106</v>
      </c>
      <c r="T294">
        <v>224.72</v>
      </c>
      <c r="U294">
        <v>46268.655147939811</v>
      </c>
      <c r="V294" t="s">
        <v>73</v>
      </c>
    </row>
    <row r="295" spans="1:22" x14ac:dyDescent="0.2">
      <c r="A295">
        <v>1000003994</v>
      </c>
      <c r="B295" t="s">
        <v>113</v>
      </c>
      <c r="C295">
        <v>1000006293</v>
      </c>
      <c r="D295" t="s">
        <v>115</v>
      </c>
      <c r="E295" t="s">
        <v>38</v>
      </c>
      <c r="F295">
        <v>2026</v>
      </c>
      <c r="G295">
        <v>7</v>
      </c>
      <c r="H295">
        <v>0</v>
      </c>
      <c r="I295" t="s">
        <v>39</v>
      </c>
      <c r="J295" t="s">
        <v>47</v>
      </c>
      <c r="L295" t="s">
        <v>41</v>
      </c>
      <c r="M295" t="s">
        <v>56</v>
      </c>
      <c r="O295" t="s">
        <v>57</v>
      </c>
      <c r="P295" t="s">
        <v>44</v>
      </c>
      <c r="Q295" t="s">
        <v>45</v>
      </c>
      <c r="R295">
        <v>0.125</v>
      </c>
      <c r="S295">
        <v>432</v>
      </c>
      <c r="T295">
        <v>54</v>
      </c>
      <c r="U295">
        <v>46268.655147939811</v>
      </c>
      <c r="V295" t="s">
        <v>58</v>
      </c>
    </row>
    <row r="296" spans="1:22" x14ac:dyDescent="0.2">
      <c r="A296">
        <v>1000003994</v>
      </c>
      <c r="B296" t="s">
        <v>113</v>
      </c>
      <c r="C296">
        <v>1000006293</v>
      </c>
      <c r="D296" t="s">
        <v>115</v>
      </c>
      <c r="E296" t="s">
        <v>38</v>
      </c>
      <c r="F296">
        <v>2026</v>
      </c>
      <c r="G296">
        <v>7</v>
      </c>
      <c r="H296">
        <v>0</v>
      </c>
      <c r="I296" t="s">
        <v>39</v>
      </c>
      <c r="J296" t="s">
        <v>47</v>
      </c>
      <c r="L296" t="s">
        <v>64</v>
      </c>
      <c r="M296" t="s">
        <v>56</v>
      </c>
      <c r="O296" t="s">
        <v>57</v>
      </c>
      <c r="P296" t="s">
        <v>44</v>
      </c>
      <c r="Q296" t="s">
        <v>45</v>
      </c>
      <c r="R296">
        <v>0.52500000000000002</v>
      </c>
      <c r="S296">
        <v>114</v>
      </c>
      <c r="T296">
        <v>59.85</v>
      </c>
      <c r="U296">
        <v>46268.655147939811</v>
      </c>
      <c r="V296" t="s">
        <v>58</v>
      </c>
    </row>
    <row r="297" spans="1:22" x14ac:dyDescent="0.2">
      <c r="A297">
        <v>1000003994</v>
      </c>
      <c r="B297" t="s">
        <v>113</v>
      </c>
      <c r="C297">
        <v>1000006293</v>
      </c>
      <c r="D297" t="s">
        <v>115</v>
      </c>
      <c r="E297" t="s">
        <v>38</v>
      </c>
      <c r="F297">
        <v>2026</v>
      </c>
      <c r="G297">
        <v>7</v>
      </c>
      <c r="H297">
        <v>0</v>
      </c>
      <c r="I297" t="s">
        <v>39</v>
      </c>
      <c r="J297" t="s">
        <v>47</v>
      </c>
      <c r="L297" t="s">
        <v>65</v>
      </c>
      <c r="M297" t="s">
        <v>56</v>
      </c>
      <c r="O297" t="s">
        <v>57</v>
      </c>
      <c r="P297" t="s">
        <v>44</v>
      </c>
      <c r="Q297" t="s">
        <v>45</v>
      </c>
      <c r="R297">
        <v>4.4349999999999996</v>
      </c>
      <c r="S297">
        <v>223</v>
      </c>
      <c r="T297">
        <v>989</v>
      </c>
      <c r="U297">
        <v>46268.655147939811</v>
      </c>
      <c r="V297" t="s">
        <v>58</v>
      </c>
    </row>
    <row r="298" spans="1:22" x14ac:dyDescent="0.2">
      <c r="A298">
        <v>1000004353</v>
      </c>
      <c r="B298" t="s">
        <v>116</v>
      </c>
      <c r="C298">
        <v>1000003132</v>
      </c>
      <c r="D298" t="s">
        <v>116</v>
      </c>
      <c r="E298" t="s">
        <v>38</v>
      </c>
      <c r="F298">
        <v>2026</v>
      </c>
      <c r="G298">
        <v>7</v>
      </c>
      <c r="H298">
        <v>0</v>
      </c>
      <c r="I298" t="s">
        <v>39</v>
      </c>
      <c r="J298" t="s">
        <v>62</v>
      </c>
      <c r="L298" t="s">
        <v>41</v>
      </c>
      <c r="M298" t="s">
        <v>42</v>
      </c>
      <c r="O298" t="s">
        <v>48</v>
      </c>
      <c r="P298" t="s">
        <v>63</v>
      </c>
      <c r="Q298" t="s">
        <v>45</v>
      </c>
      <c r="R298">
        <v>1.3</v>
      </c>
      <c r="S298">
        <v>567</v>
      </c>
      <c r="T298">
        <v>737.1</v>
      </c>
      <c r="U298">
        <v>46268.655147939811</v>
      </c>
      <c r="V298" t="s">
        <v>44</v>
      </c>
    </row>
    <row r="299" spans="1:22" x14ac:dyDescent="0.2">
      <c r="A299">
        <v>1000004353</v>
      </c>
      <c r="B299" t="s">
        <v>116</v>
      </c>
      <c r="C299">
        <v>1000003132</v>
      </c>
      <c r="D299" t="s">
        <v>116</v>
      </c>
      <c r="E299" t="s">
        <v>38</v>
      </c>
      <c r="F299">
        <v>2026</v>
      </c>
      <c r="G299">
        <v>7</v>
      </c>
      <c r="H299">
        <v>0</v>
      </c>
      <c r="I299" t="s">
        <v>39</v>
      </c>
      <c r="J299" t="s">
        <v>40</v>
      </c>
      <c r="L299" t="s">
        <v>41</v>
      </c>
      <c r="M299" t="s">
        <v>42</v>
      </c>
      <c r="O299" t="s">
        <v>43</v>
      </c>
      <c r="P299" t="s">
        <v>44</v>
      </c>
      <c r="Q299" t="s">
        <v>45</v>
      </c>
      <c r="R299">
        <v>3.05</v>
      </c>
      <c r="S299">
        <v>1324</v>
      </c>
      <c r="T299">
        <v>4038.2</v>
      </c>
      <c r="U299">
        <v>46268.655147939811</v>
      </c>
      <c r="V299" t="s">
        <v>46</v>
      </c>
    </row>
    <row r="300" spans="1:22" x14ac:dyDescent="0.2">
      <c r="A300">
        <v>1000004353</v>
      </c>
      <c r="B300" t="s">
        <v>116</v>
      </c>
      <c r="C300">
        <v>1000003132</v>
      </c>
      <c r="D300" t="s">
        <v>116</v>
      </c>
      <c r="E300" t="s">
        <v>38</v>
      </c>
      <c r="F300">
        <v>2026</v>
      </c>
      <c r="G300">
        <v>7</v>
      </c>
      <c r="H300">
        <v>0</v>
      </c>
      <c r="I300" t="s">
        <v>39</v>
      </c>
      <c r="J300" t="s">
        <v>47</v>
      </c>
      <c r="L300" t="s">
        <v>41</v>
      </c>
      <c r="M300" t="s">
        <v>42</v>
      </c>
      <c r="O300" t="s">
        <v>48</v>
      </c>
      <c r="P300" t="s">
        <v>49</v>
      </c>
      <c r="Q300" t="s">
        <v>45</v>
      </c>
      <c r="R300">
        <v>4.3099999999999996</v>
      </c>
      <c r="S300">
        <v>1314</v>
      </c>
      <c r="T300">
        <v>5663.34</v>
      </c>
      <c r="U300">
        <v>46268.655147939811</v>
      </c>
      <c r="V300" t="s">
        <v>50</v>
      </c>
    </row>
    <row r="301" spans="1:22" x14ac:dyDescent="0.2">
      <c r="A301">
        <v>1000004353</v>
      </c>
      <c r="B301" t="s">
        <v>116</v>
      </c>
      <c r="C301">
        <v>1000003132</v>
      </c>
      <c r="D301" t="s">
        <v>116</v>
      </c>
      <c r="E301" t="s">
        <v>38</v>
      </c>
      <c r="F301">
        <v>2026</v>
      </c>
      <c r="G301">
        <v>7</v>
      </c>
      <c r="H301">
        <v>0</v>
      </c>
      <c r="I301" t="s">
        <v>39</v>
      </c>
      <c r="J301" t="s">
        <v>47</v>
      </c>
      <c r="L301" t="s">
        <v>51</v>
      </c>
      <c r="M301" t="s">
        <v>42</v>
      </c>
      <c r="O301" t="s">
        <v>48</v>
      </c>
      <c r="P301" t="s">
        <v>52</v>
      </c>
      <c r="Q301" t="s">
        <v>45</v>
      </c>
      <c r="R301">
        <v>0.09</v>
      </c>
      <c r="S301">
        <v>1314</v>
      </c>
      <c r="T301">
        <v>118.26</v>
      </c>
      <c r="U301">
        <v>46268.655147939811</v>
      </c>
      <c r="V301" t="s">
        <v>53</v>
      </c>
    </row>
    <row r="302" spans="1:22" x14ac:dyDescent="0.2">
      <c r="A302">
        <v>1000004353</v>
      </c>
      <c r="B302" t="s">
        <v>116</v>
      </c>
      <c r="C302">
        <v>1000003132</v>
      </c>
      <c r="D302" t="s">
        <v>116</v>
      </c>
      <c r="E302" t="s">
        <v>38</v>
      </c>
      <c r="F302">
        <v>2026</v>
      </c>
      <c r="G302">
        <v>7</v>
      </c>
      <c r="H302">
        <v>0</v>
      </c>
      <c r="I302" t="s">
        <v>39</v>
      </c>
      <c r="J302" t="s">
        <v>47</v>
      </c>
      <c r="L302" t="s">
        <v>54</v>
      </c>
      <c r="M302" t="s">
        <v>42</v>
      </c>
      <c r="O302" t="s">
        <v>48</v>
      </c>
      <c r="P302" t="s">
        <v>55</v>
      </c>
      <c r="Q302" t="s">
        <v>45</v>
      </c>
      <c r="R302">
        <v>0.47</v>
      </c>
      <c r="S302">
        <v>1314</v>
      </c>
      <c r="T302">
        <v>617.58000000000004</v>
      </c>
      <c r="U302">
        <v>46268.655147939811</v>
      </c>
      <c r="V302" t="s">
        <v>50</v>
      </c>
    </row>
    <row r="303" spans="1:22" x14ac:dyDescent="0.2">
      <c r="A303">
        <v>1000004353</v>
      </c>
      <c r="B303" t="s">
        <v>116</v>
      </c>
      <c r="C303">
        <v>1000003132</v>
      </c>
      <c r="D303" t="s">
        <v>116</v>
      </c>
      <c r="E303" t="s">
        <v>38</v>
      </c>
      <c r="F303">
        <v>2026</v>
      </c>
      <c r="G303">
        <v>7</v>
      </c>
      <c r="H303">
        <v>0</v>
      </c>
      <c r="I303" t="s">
        <v>39</v>
      </c>
      <c r="J303" t="s">
        <v>47</v>
      </c>
      <c r="L303" t="s">
        <v>41</v>
      </c>
      <c r="M303" t="s">
        <v>56</v>
      </c>
      <c r="O303" t="s">
        <v>57</v>
      </c>
      <c r="P303" t="s">
        <v>44</v>
      </c>
      <c r="Q303" t="s">
        <v>45</v>
      </c>
      <c r="R303">
        <v>0.125</v>
      </c>
      <c r="S303">
        <v>1314</v>
      </c>
      <c r="T303">
        <v>164.25</v>
      </c>
      <c r="U303">
        <v>46268.655147939811</v>
      </c>
      <c r="V303" t="s">
        <v>58</v>
      </c>
    </row>
    <row r="304" spans="1:22" x14ac:dyDescent="0.2">
      <c r="A304">
        <v>1000004387</v>
      </c>
      <c r="B304" t="s">
        <v>117</v>
      </c>
      <c r="C304">
        <v>1000003255</v>
      </c>
      <c r="D304" t="s">
        <v>118</v>
      </c>
      <c r="E304" t="s">
        <v>38</v>
      </c>
      <c r="F304">
        <v>2026</v>
      </c>
      <c r="G304">
        <v>7</v>
      </c>
      <c r="H304">
        <v>0</v>
      </c>
      <c r="I304" t="s">
        <v>39</v>
      </c>
      <c r="J304" t="s">
        <v>40</v>
      </c>
      <c r="L304" t="s">
        <v>41</v>
      </c>
      <c r="M304" t="s">
        <v>42</v>
      </c>
      <c r="O304" t="s">
        <v>43</v>
      </c>
      <c r="P304" t="s">
        <v>44</v>
      </c>
      <c r="Q304" t="s">
        <v>45</v>
      </c>
      <c r="R304">
        <v>3.05</v>
      </c>
      <c r="S304">
        <v>799</v>
      </c>
      <c r="T304">
        <v>2436.9499999999998</v>
      </c>
      <c r="U304">
        <v>46268.655147939811</v>
      </c>
      <c r="V304" t="s">
        <v>46</v>
      </c>
    </row>
    <row r="305" spans="1:22" x14ac:dyDescent="0.2">
      <c r="A305">
        <v>1000004387</v>
      </c>
      <c r="B305" t="s">
        <v>117</v>
      </c>
      <c r="C305">
        <v>1000003255</v>
      </c>
      <c r="D305" t="s">
        <v>118</v>
      </c>
      <c r="E305" t="s">
        <v>38</v>
      </c>
      <c r="F305">
        <v>2026</v>
      </c>
      <c r="G305">
        <v>7</v>
      </c>
      <c r="H305">
        <v>0</v>
      </c>
      <c r="I305" t="s">
        <v>39</v>
      </c>
      <c r="J305" t="s">
        <v>47</v>
      </c>
      <c r="L305" t="s">
        <v>41</v>
      </c>
      <c r="M305" t="s">
        <v>42</v>
      </c>
      <c r="O305" t="s">
        <v>48</v>
      </c>
      <c r="P305" t="s">
        <v>49</v>
      </c>
      <c r="Q305" t="s">
        <v>45</v>
      </c>
      <c r="R305">
        <v>4.3099999999999996</v>
      </c>
      <c r="S305">
        <v>799</v>
      </c>
      <c r="T305">
        <v>3443.69</v>
      </c>
      <c r="U305">
        <v>46268.655147939811</v>
      </c>
      <c r="V305" t="s">
        <v>50</v>
      </c>
    </row>
    <row r="306" spans="1:22" x14ac:dyDescent="0.2">
      <c r="A306">
        <v>1000004387</v>
      </c>
      <c r="B306" t="s">
        <v>117</v>
      </c>
      <c r="C306">
        <v>1000003255</v>
      </c>
      <c r="D306" t="s">
        <v>118</v>
      </c>
      <c r="E306" t="s">
        <v>38</v>
      </c>
      <c r="F306">
        <v>2026</v>
      </c>
      <c r="G306">
        <v>7</v>
      </c>
      <c r="H306">
        <v>0</v>
      </c>
      <c r="I306" t="s">
        <v>39</v>
      </c>
      <c r="J306" t="s">
        <v>47</v>
      </c>
      <c r="L306" t="s">
        <v>51</v>
      </c>
      <c r="M306" t="s">
        <v>42</v>
      </c>
      <c r="O306" t="s">
        <v>48</v>
      </c>
      <c r="P306" t="s">
        <v>52</v>
      </c>
      <c r="Q306" t="s">
        <v>45</v>
      </c>
      <c r="R306">
        <v>0.09</v>
      </c>
      <c r="S306">
        <v>799</v>
      </c>
      <c r="T306">
        <v>71.91</v>
      </c>
      <c r="U306">
        <v>46268.655147939811</v>
      </c>
      <c r="V306" t="s">
        <v>53</v>
      </c>
    </row>
    <row r="307" spans="1:22" x14ac:dyDescent="0.2">
      <c r="A307">
        <v>1000004387</v>
      </c>
      <c r="B307" t="s">
        <v>117</v>
      </c>
      <c r="C307">
        <v>1000003255</v>
      </c>
      <c r="D307" t="s">
        <v>118</v>
      </c>
      <c r="E307" t="s">
        <v>38</v>
      </c>
      <c r="F307">
        <v>2026</v>
      </c>
      <c r="G307">
        <v>7</v>
      </c>
      <c r="H307">
        <v>0</v>
      </c>
      <c r="I307" t="s">
        <v>39</v>
      </c>
      <c r="J307" t="s">
        <v>47</v>
      </c>
      <c r="L307" t="s">
        <v>54</v>
      </c>
      <c r="M307" t="s">
        <v>42</v>
      </c>
      <c r="O307" t="s">
        <v>48</v>
      </c>
      <c r="P307" t="s">
        <v>55</v>
      </c>
      <c r="Q307" t="s">
        <v>45</v>
      </c>
      <c r="R307">
        <v>0.47</v>
      </c>
      <c r="S307">
        <v>799</v>
      </c>
      <c r="T307">
        <v>375.53</v>
      </c>
      <c r="U307">
        <v>46268.655147939811</v>
      </c>
      <c r="V307" t="s">
        <v>50</v>
      </c>
    </row>
    <row r="308" spans="1:22" x14ac:dyDescent="0.2">
      <c r="A308">
        <v>1000004387</v>
      </c>
      <c r="B308" t="s">
        <v>117</v>
      </c>
      <c r="C308">
        <v>1000003255</v>
      </c>
      <c r="D308" t="s">
        <v>118</v>
      </c>
      <c r="E308" t="s">
        <v>38</v>
      </c>
      <c r="F308">
        <v>2026</v>
      </c>
      <c r="G308">
        <v>7</v>
      </c>
      <c r="H308">
        <v>0</v>
      </c>
      <c r="I308" t="s">
        <v>39</v>
      </c>
      <c r="J308" t="s">
        <v>47</v>
      </c>
      <c r="L308" t="s">
        <v>41</v>
      </c>
      <c r="M308" t="s">
        <v>56</v>
      </c>
      <c r="O308" t="s">
        <v>57</v>
      </c>
      <c r="P308" t="s">
        <v>44</v>
      </c>
      <c r="Q308" t="s">
        <v>45</v>
      </c>
      <c r="R308">
        <v>0.125</v>
      </c>
      <c r="S308">
        <v>799</v>
      </c>
      <c r="T308">
        <v>99.87</v>
      </c>
      <c r="U308">
        <v>46268.655147939811</v>
      </c>
      <c r="V308" t="s">
        <v>58</v>
      </c>
    </row>
    <row r="309" spans="1:22" x14ac:dyDescent="0.2">
      <c r="A309">
        <v>1000004387</v>
      </c>
      <c r="B309" t="s">
        <v>117</v>
      </c>
      <c r="C309">
        <v>1000003249</v>
      </c>
      <c r="D309" t="s">
        <v>119</v>
      </c>
      <c r="E309" t="s">
        <v>38</v>
      </c>
      <c r="F309">
        <v>2026</v>
      </c>
      <c r="G309">
        <v>7</v>
      </c>
      <c r="H309">
        <v>0</v>
      </c>
      <c r="I309" t="s">
        <v>39</v>
      </c>
      <c r="J309" t="s">
        <v>40</v>
      </c>
      <c r="L309" t="s">
        <v>41</v>
      </c>
      <c r="M309" t="s">
        <v>42</v>
      </c>
      <c r="O309" t="s">
        <v>43</v>
      </c>
      <c r="P309" t="s">
        <v>44</v>
      </c>
      <c r="Q309" t="s">
        <v>45</v>
      </c>
      <c r="R309">
        <v>3.05</v>
      </c>
      <c r="S309">
        <v>1160</v>
      </c>
      <c r="T309">
        <v>3538</v>
      </c>
      <c r="U309">
        <v>46268.655147939811</v>
      </c>
      <c r="V309" t="s">
        <v>46</v>
      </c>
    </row>
    <row r="310" spans="1:22" x14ac:dyDescent="0.2">
      <c r="A310">
        <v>1000004387</v>
      </c>
      <c r="B310" t="s">
        <v>117</v>
      </c>
      <c r="C310">
        <v>1000003249</v>
      </c>
      <c r="D310" t="s">
        <v>119</v>
      </c>
      <c r="E310" t="s">
        <v>38</v>
      </c>
      <c r="F310">
        <v>2026</v>
      </c>
      <c r="G310">
        <v>7</v>
      </c>
      <c r="H310">
        <v>0</v>
      </c>
      <c r="I310" t="s">
        <v>39</v>
      </c>
      <c r="J310" t="s">
        <v>40</v>
      </c>
      <c r="L310" t="s">
        <v>64</v>
      </c>
      <c r="M310" t="s">
        <v>42</v>
      </c>
      <c r="O310" t="s">
        <v>43</v>
      </c>
      <c r="P310" t="s">
        <v>44</v>
      </c>
      <c r="Q310" t="s">
        <v>45</v>
      </c>
      <c r="R310">
        <v>2.75</v>
      </c>
      <c r="S310">
        <v>30</v>
      </c>
      <c r="T310">
        <v>82.5</v>
      </c>
      <c r="U310">
        <v>46268.655147939811</v>
      </c>
      <c r="V310" t="s">
        <v>46</v>
      </c>
    </row>
    <row r="311" spans="1:22" x14ac:dyDescent="0.2">
      <c r="A311">
        <v>1000004387</v>
      </c>
      <c r="B311" t="s">
        <v>117</v>
      </c>
      <c r="C311">
        <v>1000003249</v>
      </c>
      <c r="D311" t="s">
        <v>119</v>
      </c>
      <c r="E311" t="s">
        <v>38</v>
      </c>
      <c r="F311">
        <v>2026</v>
      </c>
      <c r="G311">
        <v>7</v>
      </c>
      <c r="H311">
        <v>0</v>
      </c>
      <c r="I311" t="s">
        <v>39</v>
      </c>
      <c r="J311" t="s">
        <v>40</v>
      </c>
      <c r="L311" t="s">
        <v>65</v>
      </c>
      <c r="M311" t="s">
        <v>42</v>
      </c>
      <c r="O311" t="s">
        <v>43</v>
      </c>
      <c r="P311" t="s">
        <v>44</v>
      </c>
      <c r="Q311" t="s">
        <v>45</v>
      </c>
      <c r="R311">
        <v>0.42</v>
      </c>
      <c r="S311">
        <v>84</v>
      </c>
      <c r="T311">
        <v>35.28</v>
      </c>
      <c r="U311">
        <v>46268.655147939811</v>
      </c>
      <c r="V311" t="s">
        <v>46</v>
      </c>
    </row>
    <row r="312" spans="1:22" x14ac:dyDescent="0.2">
      <c r="A312">
        <v>1000004387</v>
      </c>
      <c r="B312" t="s">
        <v>117</v>
      </c>
      <c r="C312">
        <v>1000003249</v>
      </c>
      <c r="D312" t="s">
        <v>119</v>
      </c>
      <c r="E312" t="s">
        <v>38</v>
      </c>
      <c r="F312">
        <v>2026</v>
      </c>
      <c r="G312">
        <v>7</v>
      </c>
      <c r="H312">
        <v>0</v>
      </c>
      <c r="I312" t="s">
        <v>39</v>
      </c>
      <c r="J312" t="s">
        <v>47</v>
      </c>
      <c r="L312" t="s">
        <v>41</v>
      </c>
      <c r="M312" t="s">
        <v>42</v>
      </c>
      <c r="O312" t="s">
        <v>48</v>
      </c>
      <c r="P312" t="s">
        <v>49</v>
      </c>
      <c r="Q312" t="s">
        <v>45</v>
      </c>
      <c r="R312">
        <v>4.3099999999999996</v>
      </c>
      <c r="S312">
        <v>1358</v>
      </c>
      <c r="T312">
        <v>5852.98</v>
      </c>
      <c r="U312">
        <v>46268.655147939811</v>
      </c>
      <c r="V312" t="s">
        <v>50</v>
      </c>
    </row>
    <row r="313" spans="1:22" x14ac:dyDescent="0.2">
      <c r="A313">
        <v>1000004387</v>
      </c>
      <c r="B313" t="s">
        <v>117</v>
      </c>
      <c r="C313">
        <v>1000003249</v>
      </c>
      <c r="D313" t="s">
        <v>119</v>
      </c>
      <c r="E313" t="s">
        <v>38</v>
      </c>
      <c r="F313">
        <v>2026</v>
      </c>
      <c r="G313">
        <v>7</v>
      </c>
      <c r="H313">
        <v>0</v>
      </c>
      <c r="I313" t="s">
        <v>39</v>
      </c>
      <c r="J313" t="s">
        <v>47</v>
      </c>
      <c r="L313" t="s">
        <v>51</v>
      </c>
      <c r="M313" t="s">
        <v>42</v>
      </c>
      <c r="O313" t="s">
        <v>48</v>
      </c>
      <c r="P313" t="s">
        <v>52</v>
      </c>
      <c r="Q313" t="s">
        <v>45</v>
      </c>
      <c r="R313">
        <v>0.09</v>
      </c>
      <c r="S313">
        <v>1672</v>
      </c>
      <c r="T313">
        <v>150.47999999999999</v>
      </c>
      <c r="U313">
        <v>46268.655147939811</v>
      </c>
      <c r="V313" t="s">
        <v>53</v>
      </c>
    </row>
    <row r="314" spans="1:22" x14ac:dyDescent="0.2">
      <c r="A314">
        <v>1000004387</v>
      </c>
      <c r="B314" t="s">
        <v>117</v>
      </c>
      <c r="C314">
        <v>1000003249</v>
      </c>
      <c r="D314" t="s">
        <v>119</v>
      </c>
      <c r="E314" t="s">
        <v>38</v>
      </c>
      <c r="F314">
        <v>2026</v>
      </c>
      <c r="G314">
        <v>7</v>
      </c>
      <c r="H314">
        <v>0</v>
      </c>
      <c r="I314" t="s">
        <v>39</v>
      </c>
      <c r="J314" t="s">
        <v>47</v>
      </c>
      <c r="L314" t="s">
        <v>64</v>
      </c>
      <c r="M314" t="s">
        <v>42</v>
      </c>
      <c r="O314" t="s">
        <v>48</v>
      </c>
      <c r="P314" t="s">
        <v>49</v>
      </c>
      <c r="Q314" t="s">
        <v>45</v>
      </c>
      <c r="R314">
        <v>3.91</v>
      </c>
      <c r="S314">
        <v>96</v>
      </c>
      <c r="T314">
        <v>375.36</v>
      </c>
      <c r="U314">
        <v>46268.655147939811</v>
      </c>
      <c r="V314" t="s">
        <v>50</v>
      </c>
    </row>
    <row r="315" spans="1:22" x14ac:dyDescent="0.2">
      <c r="A315">
        <v>1000004387</v>
      </c>
      <c r="B315" t="s">
        <v>117</v>
      </c>
      <c r="C315">
        <v>1000003249</v>
      </c>
      <c r="D315" t="s">
        <v>119</v>
      </c>
      <c r="E315" t="s">
        <v>38</v>
      </c>
      <c r="F315">
        <v>2026</v>
      </c>
      <c r="G315">
        <v>7</v>
      </c>
      <c r="H315">
        <v>0</v>
      </c>
      <c r="I315" t="s">
        <v>39</v>
      </c>
      <c r="J315" t="s">
        <v>47</v>
      </c>
      <c r="L315" t="s">
        <v>54</v>
      </c>
      <c r="M315" t="s">
        <v>42</v>
      </c>
      <c r="O315" t="s">
        <v>48</v>
      </c>
      <c r="P315" t="s">
        <v>55</v>
      </c>
      <c r="Q315" t="s">
        <v>45</v>
      </c>
      <c r="R315">
        <v>0.47</v>
      </c>
      <c r="S315">
        <v>1672</v>
      </c>
      <c r="T315">
        <v>785.84</v>
      </c>
      <c r="U315">
        <v>46268.655147939811</v>
      </c>
      <c r="V315" t="s">
        <v>50</v>
      </c>
    </row>
    <row r="316" spans="1:22" x14ac:dyDescent="0.2">
      <c r="A316">
        <v>1000004387</v>
      </c>
      <c r="B316" t="s">
        <v>117</v>
      </c>
      <c r="C316">
        <v>1000003249</v>
      </c>
      <c r="D316" t="s">
        <v>119</v>
      </c>
      <c r="E316" t="s">
        <v>38</v>
      </c>
      <c r="F316">
        <v>2026</v>
      </c>
      <c r="G316">
        <v>7</v>
      </c>
      <c r="H316">
        <v>0</v>
      </c>
      <c r="I316" t="s">
        <v>39</v>
      </c>
      <c r="J316" t="s">
        <v>40</v>
      </c>
      <c r="L316" t="s">
        <v>64</v>
      </c>
      <c r="M316" t="s">
        <v>56</v>
      </c>
      <c r="O316" t="s">
        <v>67</v>
      </c>
      <c r="P316" t="s">
        <v>44</v>
      </c>
      <c r="Q316" t="s">
        <v>45</v>
      </c>
      <c r="R316">
        <v>0.3</v>
      </c>
      <c r="S316">
        <v>30</v>
      </c>
      <c r="T316">
        <v>9</v>
      </c>
      <c r="U316">
        <v>46268.655147939811</v>
      </c>
      <c r="V316" t="s">
        <v>58</v>
      </c>
    </row>
    <row r="317" spans="1:22" x14ac:dyDescent="0.2">
      <c r="A317">
        <v>1000004387</v>
      </c>
      <c r="B317" t="s">
        <v>117</v>
      </c>
      <c r="C317">
        <v>1000003249</v>
      </c>
      <c r="D317" t="s">
        <v>119</v>
      </c>
      <c r="E317" t="s">
        <v>38</v>
      </c>
      <c r="F317">
        <v>2026</v>
      </c>
      <c r="G317">
        <v>7</v>
      </c>
      <c r="H317">
        <v>0</v>
      </c>
      <c r="I317" t="s">
        <v>39</v>
      </c>
      <c r="J317" t="s">
        <v>40</v>
      </c>
      <c r="L317" t="s">
        <v>65</v>
      </c>
      <c r="M317" t="s">
        <v>56</v>
      </c>
      <c r="O317" t="s">
        <v>67</v>
      </c>
      <c r="P317" t="s">
        <v>44</v>
      </c>
      <c r="Q317" t="s">
        <v>45</v>
      </c>
      <c r="R317">
        <v>2.63</v>
      </c>
      <c r="S317">
        <v>84</v>
      </c>
      <c r="T317">
        <v>220.92</v>
      </c>
      <c r="U317">
        <v>46268.655147939811</v>
      </c>
      <c r="V317" t="s">
        <v>68</v>
      </c>
    </row>
    <row r="318" spans="1:22" x14ac:dyDescent="0.2">
      <c r="A318">
        <v>1000004387</v>
      </c>
      <c r="B318" t="s">
        <v>117</v>
      </c>
      <c r="C318">
        <v>1000003249</v>
      </c>
      <c r="D318" t="s">
        <v>119</v>
      </c>
      <c r="E318" t="s">
        <v>38</v>
      </c>
      <c r="F318">
        <v>2026</v>
      </c>
      <c r="G318">
        <v>7</v>
      </c>
      <c r="H318">
        <v>0</v>
      </c>
      <c r="I318" t="s">
        <v>39</v>
      </c>
      <c r="J318" t="s">
        <v>47</v>
      </c>
      <c r="L318" t="s">
        <v>41</v>
      </c>
      <c r="M318" t="s">
        <v>56</v>
      </c>
      <c r="O318" t="s">
        <v>57</v>
      </c>
      <c r="P318" t="s">
        <v>44</v>
      </c>
      <c r="Q318" t="s">
        <v>45</v>
      </c>
      <c r="R318">
        <v>0.125</v>
      </c>
      <c r="S318">
        <v>1358</v>
      </c>
      <c r="T318">
        <v>169.75</v>
      </c>
      <c r="U318">
        <v>46268.655147939811</v>
      </c>
      <c r="V318" t="s">
        <v>58</v>
      </c>
    </row>
    <row r="319" spans="1:22" x14ac:dyDescent="0.2">
      <c r="A319">
        <v>1000004387</v>
      </c>
      <c r="B319" t="s">
        <v>117</v>
      </c>
      <c r="C319">
        <v>1000003249</v>
      </c>
      <c r="D319" t="s">
        <v>119</v>
      </c>
      <c r="E319" t="s">
        <v>38</v>
      </c>
      <c r="F319">
        <v>2026</v>
      </c>
      <c r="G319">
        <v>7</v>
      </c>
      <c r="H319">
        <v>0</v>
      </c>
      <c r="I319" t="s">
        <v>39</v>
      </c>
      <c r="J319" t="s">
        <v>47</v>
      </c>
      <c r="L319" t="s">
        <v>64</v>
      </c>
      <c r="M319" t="s">
        <v>56</v>
      </c>
      <c r="O319" t="s">
        <v>57</v>
      </c>
      <c r="P319" t="s">
        <v>44</v>
      </c>
      <c r="Q319" t="s">
        <v>45</v>
      </c>
      <c r="R319">
        <v>0.52500000000000002</v>
      </c>
      <c r="S319">
        <v>96</v>
      </c>
      <c r="T319">
        <v>50.4</v>
      </c>
      <c r="U319">
        <v>46268.655147939811</v>
      </c>
      <c r="V319" t="s">
        <v>58</v>
      </c>
    </row>
    <row r="320" spans="1:22" x14ac:dyDescent="0.2">
      <c r="A320">
        <v>1000004387</v>
      </c>
      <c r="B320" t="s">
        <v>117</v>
      </c>
      <c r="C320">
        <v>1000003249</v>
      </c>
      <c r="D320" t="s">
        <v>119</v>
      </c>
      <c r="E320" t="s">
        <v>38</v>
      </c>
      <c r="F320">
        <v>2026</v>
      </c>
      <c r="G320">
        <v>7</v>
      </c>
      <c r="H320">
        <v>0</v>
      </c>
      <c r="I320" t="s">
        <v>39</v>
      </c>
      <c r="J320" t="s">
        <v>47</v>
      </c>
      <c r="L320" t="s">
        <v>65</v>
      </c>
      <c r="M320" t="s">
        <v>56</v>
      </c>
      <c r="O320" t="s">
        <v>57</v>
      </c>
      <c r="P320" t="s">
        <v>44</v>
      </c>
      <c r="Q320" t="s">
        <v>45</v>
      </c>
      <c r="R320">
        <v>4.4349999999999996</v>
      </c>
      <c r="S320">
        <v>218</v>
      </c>
      <c r="T320">
        <v>966.83</v>
      </c>
      <c r="U320">
        <v>46268.655147939811</v>
      </c>
      <c r="V320" t="s">
        <v>58</v>
      </c>
    </row>
    <row r="321" spans="1:22" x14ac:dyDescent="0.2">
      <c r="A321">
        <v>1000004379</v>
      </c>
      <c r="B321" t="s">
        <v>120</v>
      </c>
      <c r="C321">
        <v>1000003229</v>
      </c>
      <c r="D321" t="s">
        <v>121</v>
      </c>
      <c r="E321" t="s">
        <v>38</v>
      </c>
      <c r="F321">
        <v>2026</v>
      </c>
      <c r="G321">
        <v>7</v>
      </c>
      <c r="H321">
        <v>0</v>
      </c>
      <c r="I321" t="s">
        <v>39</v>
      </c>
      <c r="J321" t="s">
        <v>62</v>
      </c>
      <c r="L321" t="s">
        <v>41</v>
      </c>
      <c r="M321" t="s">
        <v>42</v>
      </c>
      <c r="O321" t="s">
        <v>48</v>
      </c>
      <c r="P321" t="s">
        <v>63</v>
      </c>
      <c r="Q321" t="s">
        <v>45</v>
      </c>
      <c r="R321">
        <v>1.3</v>
      </c>
      <c r="S321">
        <v>140</v>
      </c>
      <c r="T321">
        <v>182</v>
      </c>
      <c r="U321">
        <v>46268.655147939811</v>
      </c>
      <c r="V321" t="s">
        <v>44</v>
      </c>
    </row>
    <row r="322" spans="1:22" x14ac:dyDescent="0.2">
      <c r="A322">
        <v>1000004379</v>
      </c>
      <c r="B322" t="s">
        <v>120</v>
      </c>
      <c r="C322">
        <v>1000003229</v>
      </c>
      <c r="D322" t="s">
        <v>121</v>
      </c>
      <c r="E322" t="s">
        <v>38</v>
      </c>
      <c r="F322">
        <v>2026</v>
      </c>
      <c r="G322">
        <v>7</v>
      </c>
      <c r="H322">
        <v>0</v>
      </c>
      <c r="I322" t="s">
        <v>39</v>
      </c>
      <c r="J322" t="s">
        <v>40</v>
      </c>
      <c r="L322" t="s">
        <v>41</v>
      </c>
      <c r="M322" t="s">
        <v>42</v>
      </c>
      <c r="O322" t="s">
        <v>43</v>
      </c>
      <c r="P322" t="s">
        <v>44</v>
      </c>
      <c r="Q322" t="s">
        <v>45</v>
      </c>
      <c r="R322">
        <v>3.05</v>
      </c>
      <c r="S322">
        <v>196</v>
      </c>
      <c r="T322">
        <v>597.79999999999995</v>
      </c>
      <c r="U322">
        <v>46268.655147939811</v>
      </c>
      <c r="V322" t="s">
        <v>46</v>
      </c>
    </row>
    <row r="323" spans="1:22" x14ac:dyDescent="0.2">
      <c r="A323">
        <v>1000004379</v>
      </c>
      <c r="B323" t="s">
        <v>120</v>
      </c>
      <c r="C323">
        <v>1000003229</v>
      </c>
      <c r="D323" t="s">
        <v>121</v>
      </c>
      <c r="E323" t="s">
        <v>38</v>
      </c>
      <c r="F323">
        <v>2026</v>
      </c>
      <c r="G323">
        <v>7</v>
      </c>
      <c r="H323">
        <v>0</v>
      </c>
      <c r="I323" t="s">
        <v>39</v>
      </c>
      <c r="J323" t="s">
        <v>47</v>
      </c>
      <c r="L323" t="s">
        <v>41</v>
      </c>
      <c r="M323" t="s">
        <v>42</v>
      </c>
      <c r="O323" t="s">
        <v>48</v>
      </c>
      <c r="P323" t="s">
        <v>49</v>
      </c>
      <c r="Q323" t="s">
        <v>45</v>
      </c>
      <c r="R323">
        <v>4.3099999999999996</v>
      </c>
      <c r="S323">
        <v>191</v>
      </c>
      <c r="T323">
        <v>823.21</v>
      </c>
      <c r="U323">
        <v>46268.655147939811</v>
      </c>
      <c r="V323" t="s">
        <v>50</v>
      </c>
    </row>
    <row r="324" spans="1:22" x14ac:dyDescent="0.2">
      <c r="A324">
        <v>1000004379</v>
      </c>
      <c r="B324" t="s">
        <v>120</v>
      </c>
      <c r="C324">
        <v>1000003229</v>
      </c>
      <c r="D324" t="s">
        <v>121</v>
      </c>
      <c r="E324" t="s">
        <v>38</v>
      </c>
      <c r="F324">
        <v>2026</v>
      </c>
      <c r="G324">
        <v>7</v>
      </c>
      <c r="H324">
        <v>0</v>
      </c>
      <c r="I324" t="s">
        <v>39</v>
      </c>
      <c r="J324" t="s">
        <v>47</v>
      </c>
      <c r="L324" t="s">
        <v>51</v>
      </c>
      <c r="M324" t="s">
        <v>42</v>
      </c>
      <c r="O324" t="s">
        <v>48</v>
      </c>
      <c r="P324" t="s">
        <v>52</v>
      </c>
      <c r="Q324" t="s">
        <v>45</v>
      </c>
      <c r="R324">
        <v>0.09</v>
      </c>
      <c r="S324">
        <v>191</v>
      </c>
      <c r="T324">
        <v>17.190000000000001</v>
      </c>
      <c r="U324">
        <v>46268.655147939811</v>
      </c>
      <c r="V324" t="s">
        <v>53</v>
      </c>
    </row>
    <row r="325" spans="1:22" x14ac:dyDescent="0.2">
      <c r="A325">
        <v>1000004379</v>
      </c>
      <c r="B325" t="s">
        <v>120</v>
      </c>
      <c r="C325">
        <v>1000003229</v>
      </c>
      <c r="D325" t="s">
        <v>121</v>
      </c>
      <c r="E325" t="s">
        <v>38</v>
      </c>
      <c r="F325">
        <v>2026</v>
      </c>
      <c r="G325">
        <v>7</v>
      </c>
      <c r="H325">
        <v>0</v>
      </c>
      <c r="I325" t="s">
        <v>39</v>
      </c>
      <c r="J325" t="s">
        <v>47</v>
      </c>
      <c r="L325" t="s">
        <v>54</v>
      </c>
      <c r="M325" t="s">
        <v>42</v>
      </c>
      <c r="O325" t="s">
        <v>48</v>
      </c>
      <c r="P325" t="s">
        <v>55</v>
      </c>
      <c r="Q325" t="s">
        <v>45</v>
      </c>
      <c r="R325">
        <v>0.47</v>
      </c>
      <c r="S325">
        <v>191</v>
      </c>
      <c r="T325">
        <v>89.77</v>
      </c>
      <c r="U325">
        <v>46268.655147939811</v>
      </c>
      <c r="V325" t="s">
        <v>50</v>
      </c>
    </row>
    <row r="326" spans="1:22" x14ac:dyDescent="0.2">
      <c r="A326">
        <v>1000004379</v>
      </c>
      <c r="B326" t="s">
        <v>120</v>
      </c>
      <c r="C326">
        <v>1000003229</v>
      </c>
      <c r="D326" t="s">
        <v>121</v>
      </c>
      <c r="E326" t="s">
        <v>38</v>
      </c>
      <c r="F326">
        <v>2026</v>
      </c>
      <c r="G326">
        <v>7</v>
      </c>
      <c r="H326">
        <v>0</v>
      </c>
      <c r="I326" t="s">
        <v>39</v>
      </c>
      <c r="J326" t="s">
        <v>47</v>
      </c>
      <c r="L326" t="s">
        <v>41</v>
      </c>
      <c r="M326" t="s">
        <v>56</v>
      </c>
      <c r="O326" t="s">
        <v>57</v>
      </c>
      <c r="P326" t="s">
        <v>44</v>
      </c>
      <c r="Q326" t="s">
        <v>45</v>
      </c>
      <c r="R326">
        <v>0.125</v>
      </c>
      <c r="S326">
        <v>191</v>
      </c>
      <c r="T326">
        <v>23.87</v>
      </c>
      <c r="U326">
        <v>46268.655147939811</v>
      </c>
      <c r="V326" t="s">
        <v>58</v>
      </c>
    </row>
    <row r="327" spans="1:22" x14ac:dyDescent="0.2">
      <c r="A327">
        <v>1000003885</v>
      </c>
      <c r="B327" t="s">
        <v>122</v>
      </c>
      <c r="C327">
        <v>9000017496</v>
      </c>
      <c r="D327" t="s">
        <v>123</v>
      </c>
      <c r="E327" t="s">
        <v>38</v>
      </c>
      <c r="F327">
        <v>2026</v>
      </c>
      <c r="G327">
        <v>7</v>
      </c>
      <c r="H327">
        <v>0</v>
      </c>
      <c r="I327" t="s">
        <v>39</v>
      </c>
      <c r="J327" t="s">
        <v>40</v>
      </c>
      <c r="L327" t="s">
        <v>41</v>
      </c>
      <c r="M327" t="s">
        <v>42</v>
      </c>
      <c r="O327" t="s">
        <v>43</v>
      </c>
      <c r="P327" t="s">
        <v>44</v>
      </c>
      <c r="Q327" t="s">
        <v>45</v>
      </c>
      <c r="R327">
        <v>3.05</v>
      </c>
      <c r="S327">
        <v>58</v>
      </c>
      <c r="T327">
        <v>176.9</v>
      </c>
      <c r="U327">
        <v>46268.655147939811</v>
      </c>
      <c r="V327" t="s">
        <v>46</v>
      </c>
    </row>
    <row r="328" spans="1:22" x14ac:dyDescent="0.2">
      <c r="A328">
        <v>1000003885</v>
      </c>
      <c r="B328" t="s">
        <v>122</v>
      </c>
      <c r="C328">
        <v>9000017496</v>
      </c>
      <c r="D328" t="s">
        <v>123</v>
      </c>
      <c r="E328" t="s">
        <v>38</v>
      </c>
      <c r="F328">
        <v>2026</v>
      </c>
      <c r="G328">
        <v>7</v>
      </c>
      <c r="H328">
        <v>0</v>
      </c>
      <c r="I328" t="s">
        <v>39</v>
      </c>
      <c r="J328" t="s">
        <v>40</v>
      </c>
      <c r="L328" t="s">
        <v>64</v>
      </c>
      <c r="M328" t="s">
        <v>42</v>
      </c>
      <c r="O328" t="s">
        <v>43</v>
      </c>
      <c r="P328" t="s">
        <v>44</v>
      </c>
      <c r="Q328" t="s">
        <v>45</v>
      </c>
      <c r="R328">
        <v>2.75</v>
      </c>
      <c r="S328">
        <v>16</v>
      </c>
      <c r="T328">
        <v>44</v>
      </c>
      <c r="U328">
        <v>46268.655147939811</v>
      </c>
      <c r="V328" t="s">
        <v>46</v>
      </c>
    </row>
    <row r="329" spans="1:22" x14ac:dyDescent="0.2">
      <c r="A329">
        <v>1000003885</v>
      </c>
      <c r="B329" t="s">
        <v>122</v>
      </c>
      <c r="C329">
        <v>9000017496</v>
      </c>
      <c r="D329" t="s">
        <v>123</v>
      </c>
      <c r="E329" t="s">
        <v>38</v>
      </c>
      <c r="F329">
        <v>2026</v>
      </c>
      <c r="G329">
        <v>7</v>
      </c>
      <c r="H329">
        <v>0</v>
      </c>
      <c r="I329" t="s">
        <v>39</v>
      </c>
      <c r="J329" t="s">
        <v>40</v>
      </c>
      <c r="L329" t="s">
        <v>65</v>
      </c>
      <c r="M329" t="s">
        <v>42</v>
      </c>
      <c r="O329" t="s">
        <v>43</v>
      </c>
      <c r="P329" t="s">
        <v>44</v>
      </c>
      <c r="Q329" t="s">
        <v>45</v>
      </c>
      <c r="R329">
        <v>0.42</v>
      </c>
      <c r="S329">
        <v>22</v>
      </c>
      <c r="T329">
        <v>9.24</v>
      </c>
      <c r="U329">
        <v>46268.655147939811</v>
      </c>
      <c r="V329" t="s">
        <v>46</v>
      </c>
    </row>
    <row r="330" spans="1:22" x14ac:dyDescent="0.2">
      <c r="A330">
        <v>1000003885</v>
      </c>
      <c r="B330" t="s">
        <v>122</v>
      </c>
      <c r="C330">
        <v>9000017496</v>
      </c>
      <c r="D330" t="s">
        <v>123</v>
      </c>
      <c r="E330" t="s">
        <v>38</v>
      </c>
      <c r="F330">
        <v>2026</v>
      </c>
      <c r="G330">
        <v>7</v>
      </c>
      <c r="H330">
        <v>0</v>
      </c>
      <c r="I330" t="s">
        <v>39</v>
      </c>
      <c r="J330" t="s">
        <v>47</v>
      </c>
      <c r="L330" t="s">
        <v>41</v>
      </c>
      <c r="M330" t="s">
        <v>42</v>
      </c>
      <c r="O330" t="s">
        <v>48</v>
      </c>
      <c r="P330" t="s">
        <v>49</v>
      </c>
      <c r="Q330" t="s">
        <v>45</v>
      </c>
      <c r="R330">
        <v>4.3099999999999996</v>
      </c>
      <c r="S330">
        <v>58</v>
      </c>
      <c r="T330">
        <v>249.98</v>
      </c>
      <c r="U330">
        <v>46268.655147939811</v>
      </c>
      <c r="V330" t="s">
        <v>66</v>
      </c>
    </row>
    <row r="331" spans="1:22" x14ac:dyDescent="0.2">
      <c r="A331">
        <v>1000003885</v>
      </c>
      <c r="B331" t="s">
        <v>122</v>
      </c>
      <c r="C331">
        <v>9000017496</v>
      </c>
      <c r="D331" t="s">
        <v>123</v>
      </c>
      <c r="E331" t="s">
        <v>38</v>
      </c>
      <c r="F331">
        <v>2026</v>
      </c>
      <c r="G331">
        <v>7</v>
      </c>
      <c r="H331">
        <v>0</v>
      </c>
      <c r="I331" t="s">
        <v>39</v>
      </c>
      <c r="J331" t="s">
        <v>47</v>
      </c>
      <c r="L331" t="s">
        <v>51</v>
      </c>
      <c r="M331" t="s">
        <v>42</v>
      </c>
      <c r="O331" t="s">
        <v>48</v>
      </c>
      <c r="P331" t="s">
        <v>52</v>
      </c>
      <c r="Q331" t="s">
        <v>45</v>
      </c>
      <c r="R331">
        <v>0.09</v>
      </c>
      <c r="S331">
        <v>96</v>
      </c>
      <c r="T331">
        <v>8.64</v>
      </c>
      <c r="U331">
        <v>46268.655147939811</v>
      </c>
      <c r="V331" t="s">
        <v>53</v>
      </c>
    </row>
    <row r="332" spans="1:22" x14ac:dyDescent="0.2">
      <c r="A332">
        <v>1000003885</v>
      </c>
      <c r="B332" t="s">
        <v>122</v>
      </c>
      <c r="C332">
        <v>9000017496</v>
      </c>
      <c r="D332" t="s">
        <v>123</v>
      </c>
      <c r="E332" t="s">
        <v>38</v>
      </c>
      <c r="F332">
        <v>2026</v>
      </c>
      <c r="G332">
        <v>7</v>
      </c>
      <c r="H332">
        <v>0</v>
      </c>
      <c r="I332" t="s">
        <v>39</v>
      </c>
      <c r="J332" t="s">
        <v>47</v>
      </c>
      <c r="L332" t="s">
        <v>64</v>
      </c>
      <c r="M332" t="s">
        <v>42</v>
      </c>
      <c r="O332" t="s">
        <v>48</v>
      </c>
      <c r="P332" t="s">
        <v>49</v>
      </c>
      <c r="Q332" t="s">
        <v>45</v>
      </c>
      <c r="R332">
        <v>3.91</v>
      </c>
      <c r="S332">
        <v>16</v>
      </c>
      <c r="T332">
        <v>62.56</v>
      </c>
      <c r="U332">
        <v>46268.655147939811</v>
      </c>
      <c r="V332" t="s">
        <v>66</v>
      </c>
    </row>
    <row r="333" spans="1:22" x14ac:dyDescent="0.2">
      <c r="A333">
        <v>1000003885</v>
      </c>
      <c r="B333" t="s">
        <v>122</v>
      </c>
      <c r="C333">
        <v>9000017496</v>
      </c>
      <c r="D333" t="s">
        <v>123</v>
      </c>
      <c r="E333" t="s">
        <v>38</v>
      </c>
      <c r="F333">
        <v>2026</v>
      </c>
      <c r="G333">
        <v>7</v>
      </c>
      <c r="H333">
        <v>0</v>
      </c>
      <c r="I333" t="s">
        <v>39</v>
      </c>
      <c r="J333" t="s">
        <v>47</v>
      </c>
      <c r="L333" t="s">
        <v>54</v>
      </c>
      <c r="M333" t="s">
        <v>42</v>
      </c>
      <c r="O333" t="s">
        <v>48</v>
      </c>
      <c r="P333" t="s">
        <v>55</v>
      </c>
      <c r="Q333" t="s">
        <v>45</v>
      </c>
      <c r="R333">
        <v>0.45</v>
      </c>
      <c r="S333">
        <v>96</v>
      </c>
      <c r="T333">
        <v>43.2</v>
      </c>
      <c r="U333">
        <v>46268.655147939811</v>
      </c>
      <c r="V333" t="s">
        <v>66</v>
      </c>
    </row>
    <row r="334" spans="1:22" x14ac:dyDescent="0.2">
      <c r="A334">
        <v>1000003885</v>
      </c>
      <c r="B334" t="s">
        <v>122</v>
      </c>
      <c r="C334">
        <v>9000017496</v>
      </c>
      <c r="D334" t="s">
        <v>123</v>
      </c>
      <c r="E334" t="s">
        <v>38</v>
      </c>
      <c r="F334">
        <v>2026</v>
      </c>
      <c r="G334">
        <v>7</v>
      </c>
      <c r="H334">
        <v>0</v>
      </c>
      <c r="I334" t="s">
        <v>39</v>
      </c>
      <c r="J334" t="s">
        <v>40</v>
      </c>
      <c r="L334" t="s">
        <v>64</v>
      </c>
      <c r="M334" t="s">
        <v>56</v>
      </c>
      <c r="O334" t="s">
        <v>67</v>
      </c>
      <c r="P334" t="s">
        <v>44</v>
      </c>
      <c r="Q334" t="s">
        <v>45</v>
      </c>
      <c r="R334">
        <v>0.3</v>
      </c>
      <c r="S334">
        <v>16</v>
      </c>
      <c r="T334">
        <v>4.8</v>
      </c>
      <c r="U334">
        <v>46268.655147939811</v>
      </c>
      <c r="V334" t="s">
        <v>58</v>
      </c>
    </row>
    <row r="335" spans="1:22" x14ac:dyDescent="0.2">
      <c r="A335">
        <v>1000003885</v>
      </c>
      <c r="B335" t="s">
        <v>122</v>
      </c>
      <c r="C335">
        <v>9000017496</v>
      </c>
      <c r="D335" t="s">
        <v>123</v>
      </c>
      <c r="E335" t="s">
        <v>38</v>
      </c>
      <c r="F335">
        <v>2026</v>
      </c>
      <c r="G335">
        <v>7</v>
      </c>
      <c r="H335">
        <v>0</v>
      </c>
      <c r="I335" t="s">
        <v>39</v>
      </c>
      <c r="J335" t="s">
        <v>40</v>
      </c>
      <c r="L335" t="s">
        <v>65</v>
      </c>
      <c r="M335" t="s">
        <v>56</v>
      </c>
      <c r="O335" t="s">
        <v>67</v>
      </c>
      <c r="P335" t="s">
        <v>44</v>
      </c>
      <c r="Q335" t="s">
        <v>45</v>
      </c>
      <c r="R335">
        <v>2.63</v>
      </c>
      <c r="S335">
        <v>22</v>
      </c>
      <c r="T335">
        <v>57.86</v>
      </c>
      <c r="U335">
        <v>46268.655147939811</v>
      </c>
      <c r="V335" t="s">
        <v>68</v>
      </c>
    </row>
    <row r="336" spans="1:22" x14ac:dyDescent="0.2">
      <c r="A336">
        <v>1000003885</v>
      </c>
      <c r="B336" t="s">
        <v>122</v>
      </c>
      <c r="C336">
        <v>9000017496</v>
      </c>
      <c r="D336" t="s">
        <v>123</v>
      </c>
      <c r="E336" t="s">
        <v>38</v>
      </c>
      <c r="F336">
        <v>2026</v>
      </c>
      <c r="G336">
        <v>7</v>
      </c>
      <c r="H336">
        <v>0</v>
      </c>
      <c r="I336" t="s">
        <v>39</v>
      </c>
      <c r="J336" t="s">
        <v>47</v>
      </c>
      <c r="L336" t="s">
        <v>41</v>
      </c>
      <c r="M336" t="s">
        <v>56</v>
      </c>
      <c r="O336" t="s">
        <v>57</v>
      </c>
      <c r="P336" t="s">
        <v>44</v>
      </c>
      <c r="Q336" t="s">
        <v>45</v>
      </c>
      <c r="R336">
        <v>0.125</v>
      </c>
      <c r="S336">
        <v>58</v>
      </c>
      <c r="T336">
        <v>7.25</v>
      </c>
      <c r="U336">
        <v>46268.655147939811</v>
      </c>
      <c r="V336" t="s">
        <v>58</v>
      </c>
    </row>
    <row r="337" spans="1:22" x14ac:dyDescent="0.2">
      <c r="A337">
        <v>1000003885</v>
      </c>
      <c r="B337" t="s">
        <v>122</v>
      </c>
      <c r="C337">
        <v>9000017496</v>
      </c>
      <c r="D337" t="s">
        <v>123</v>
      </c>
      <c r="E337" t="s">
        <v>38</v>
      </c>
      <c r="F337">
        <v>2026</v>
      </c>
      <c r="G337">
        <v>7</v>
      </c>
      <c r="H337">
        <v>0</v>
      </c>
      <c r="I337" t="s">
        <v>39</v>
      </c>
      <c r="J337" t="s">
        <v>47</v>
      </c>
      <c r="L337" t="s">
        <v>64</v>
      </c>
      <c r="M337" t="s">
        <v>56</v>
      </c>
      <c r="O337" t="s">
        <v>57</v>
      </c>
      <c r="P337" t="s">
        <v>44</v>
      </c>
      <c r="Q337" t="s">
        <v>45</v>
      </c>
      <c r="R337">
        <v>0.52500000000000002</v>
      </c>
      <c r="S337">
        <v>16</v>
      </c>
      <c r="T337">
        <v>8.4</v>
      </c>
      <c r="U337">
        <v>46268.655147939811</v>
      </c>
      <c r="V337" t="s">
        <v>58</v>
      </c>
    </row>
    <row r="338" spans="1:22" x14ac:dyDescent="0.2">
      <c r="A338">
        <v>1000003885</v>
      </c>
      <c r="B338" t="s">
        <v>122</v>
      </c>
      <c r="C338">
        <v>9000017496</v>
      </c>
      <c r="D338" t="s">
        <v>123</v>
      </c>
      <c r="E338" t="s">
        <v>38</v>
      </c>
      <c r="F338">
        <v>2026</v>
      </c>
      <c r="G338">
        <v>7</v>
      </c>
      <c r="H338">
        <v>0</v>
      </c>
      <c r="I338" t="s">
        <v>39</v>
      </c>
      <c r="J338" t="s">
        <v>47</v>
      </c>
      <c r="L338" t="s">
        <v>65</v>
      </c>
      <c r="M338" t="s">
        <v>56</v>
      </c>
      <c r="O338" t="s">
        <v>57</v>
      </c>
      <c r="P338" t="s">
        <v>44</v>
      </c>
      <c r="Q338" t="s">
        <v>45</v>
      </c>
      <c r="R338">
        <v>4.4349999999999996</v>
      </c>
      <c r="S338">
        <v>22</v>
      </c>
      <c r="T338">
        <v>97.57</v>
      </c>
      <c r="U338">
        <v>46268.655147939811</v>
      </c>
      <c r="V338" t="s">
        <v>58</v>
      </c>
    </row>
    <row r="339" spans="1:22" x14ac:dyDescent="0.2">
      <c r="A339">
        <v>1000003701</v>
      </c>
      <c r="B339" t="s">
        <v>124</v>
      </c>
      <c r="C339">
        <v>1000001934</v>
      </c>
      <c r="D339" t="s">
        <v>125</v>
      </c>
      <c r="E339" t="s">
        <v>38</v>
      </c>
      <c r="F339">
        <v>2026</v>
      </c>
      <c r="G339">
        <v>7</v>
      </c>
      <c r="H339">
        <v>0</v>
      </c>
      <c r="I339" t="s">
        <v>39</v>
      </c>
      <c r="J339" t="s">
        <v>40</v>
      </c>
      <c r="L339" t="s">
        <v>41</v>
      </c>
      <c r="M339" t="s">
        <v>42</v>
      </c>
      <c r="O339" t="s">
        <v>43</v>
      </c>
      <c r="P339" t="s">
        <v>44</v>
      </c>
      <c r="Q339" t="s">
        <v>45</v>
      </c>
      <c r="R339">
        <v>3.05</v>
      </c>
      <c r="S339">
        <v>172</v>
      </c>
      <c r="T339">
        <v>524.6</v>
      </c>
      <c r="U339">
        <v>46268.655147939811</v>
      </c>
      <c r="V339" t="s">
        <v>46</v>
      </c>
    </row>
    <row r="340" spans="1:22" x14ac:dyDescent="0.2">
      <c r="A340">
        <v>1000003701</v>
      </c>
      <c r="B340" t="s">
        <v>124</v>
      </c>
      <c r="C340">
        <v>1000001934</v>
      </c>
      <c r="D340" t="s">
        <v>125</v>
      </c>
      <c r="E340" t="s">
        <v>38</v>
      </c>
      <c r="F340">
        <v>2026</v>
      </c>
      <c r="G340">
        <v>7</v>
      </c>
      <c r="H340">
        <v>0</v>
      </c>
      <c r="I340" t="s">
        <v>39</v>
      </c>
      <c r="J340" t="s">
        <v>40</v>
      </c>
      <c r="L340" t="s">
        <v>64</v>
      </c>
      <c r="M340" t="s">
        <v>42</v>
      </c>
      <c r="O340" t="s">
        <v>43</v>
      </c>
      <c r="P340" t="s">
        <v>44</v>
      </c>
      <c r="Q340" t="s">
        <v>45</v>
      </c>
      <c r="R340">
        <v>2.75</v>
      </c>
      <c r="S340">
        <v>207</v>
      </c>
      <c r="T340">
        <v>569.25</v>
      </c>
      <c r="U340">
        <v>46268.655147939811</v>
      </c>
      <c r="V340" t="s">
        <v>46</v>
      </c>
    </row>
    <row r="341" spans="1:22" x14ac:dyDescent="0.2">
      <c r="A341">
        <v>1000003701</v>
      </c>
      <c r="B341" t="s">
        <v>124</v>
      </c>
      <c r="C341">
        <v>1000001934</v>
      </c>
      <c r="D341" t="s">
        <v>125</v>
      </c>
      <c r="E341" t="s">
        <v>38</v>
      </c>
      <c r="F341">
        <v>2026</v>
      </c>
      <c r="G341">
        <v>7</v>
      </c>
      <c r="H341">
        <v>0</v>
      </c>
      <c r="I341" t="s">
        <v>39</v>
      </c>
      <c r="J341" t="s">
        <v>40</v>
      </c>
      <c r="L341" t="s">
        <v>65</v>
      </c>
      <c r="M341" t="s">
        <v>42</v>
      </c>
      <c r="O341" t="s">
        <v>43</v>
      </c>
      <c r="P341" t="s">
        <v>44</v>
      </c>
      <c r="Q341" t="s">
        <v>45</v>
      </c>
      <c r="R341">
        <v>0.42</v>
      </c>
      <c r="S341">
        <v>204</v>
      </c>
      <c r="T341">
        <v>85.68</v>
      </c>
      <c r="U341">
        <v>46268.655147939811</v>
      </c>
      <c r="V341" t="s">
        <v>46</v>
      </c>
    </row>
    <row r="342" spans="1:22" x14ac:dyDescent="0.2">
      <c r="A342">
        <v>1000003701</v>
      </c>
      <c r="B342" t="s">
        <v>124</v>
      </c>
      <c r="C342">
        <v>1000001934</v>
      </c>
      <c r="D342" t="s">
        <v>125</v>
      </c>
      <c r="E342" t="s">
        <v>38</v>
      </c>
      <c r="F342">
        <v>2026</v>
      </c>
      <c r="G342">
        <v>7</v>
      </c>
      <c r="H342">
        <v>0</v>
      </c>
      <c r="I342" t="s">
        <v>39</v>
      </c>
      <c r="J342" t="s">
        <v>47</v>
      </c>
      <c r="L342" t="s">
        <v>41</v>
      </c>
      <c r="M342" t="s">
        <v>42</v>
      </c>
      <c r="O342" t="s">
        <v>48</v>
      </c>
      <c r="P342" t="s">
        <v>49</v>
      </c>
      <c r="Q342" t="s">
        <v>45</v>
      </c>
      <c r="R342">
        <v>4.3099999999999996</v>
      </c>
      <c r="S342">
        <v>439</v>
      </c>
      <c r="T342">
        <v>1892.09</v>
      </c>
      <c r="U342">
        <v>46268.655147939811</v>
      </c>
      <c r="V342" t="s">
        <v>66</v>
      </c>
    </row>
    <row r="343" spans="1:22" x14ac:dyDescent="0.2">
      <c r="A343">
        <v>1000003701</v>
      </c>
      <c r="B343" t="s">
        <v>124</v>
      </c>
      <c r="C343">
        <v>1000001934</v>
      </c>
      <c r="D343" t="s">
        <v>125</v>
      </c>
      <c r="E343" t="s">
        <v>38</v>
      </c>
      <c r="F343">
        <v>2026</v>
      </c>
      <c r="G343">
        <v>7</v>
      </c>
      <c r="H343">
        <v>0</v>
      </c>
      <c r="I343" t="s">
        <v>39</v>
      </c>
      <c r="J343" t="s">
        <v>47</v>
      </c>
      <c r="L343" t="s">
        <v>51</v>
      </c>
      <c r="M343" t="s">
        <v>42</v>
      </c>
      <c r="O343" t="s">
        <v>48</v>
      </c>
      <c r="P343" t="s">
        <v>52</v>
      </c>
      <c r="Q343" t="s">
        <v>45</v>
      </c>
      <c r="R343">
        <v>0.09</v>
      </c>
      <c r="S343">
        <v>1395</v>
      </c>
      <c r="T343">
        <v>125.55</v>
      </c>
      <c r="U343">
        <v>46268.655147939811</v>
      </c>
      <c r="V343" t="s">
        <v>53</v>
      </c>
    </row>
    <row r="344" spans="1:22" x14ac:dyDescent="0.2">
      <c r="A344">
        <v>1000003701</v>
      </c>
      <c r="B344" t="s">
        <v>124</v>
      </c>
      <c r="C344">
        <v>1000001934</v>
      </c>
      <c r="D344" t="s">
        <v>125</v>
      </c>
      <c r="E344" t="s">
        <v>38</v>
      </c>
      <c r="F344">
        <v>2026</v>
      </c>
      <c r="G344">
        <v>7</v>
      </c>
      <c r="H344">
        <v>0</v>
      </c>
      <c r="I344" t="s">
        <v>39</v>
      </c>
      <c r="J344" t="s">
        <v>47</v>
      </c>
      <c r="L344" t="s">
        <v>64</v>
      </c>
      <c r="M344" t="s">
        <v>42</v>
      </c>
      <c r="O344" t="s">
        <v>48</v>
      </c>
      <c r="P344" t="s">
        <v>49</v>
      </c>
      <c r="Q344" t="s">
        <v>45</v>
      </c>
      <c r="R344">
        <v>3.91</v>
      </c>
      <c r="S344">
        <v>255</v>
      </c>
      <c r="T344">
        <v>997.05</v>
      </c>
      <c r="U344">
        <v>46268.655147939811</v>
      </c>
      <c r="V344" t="s">
        <v>66</v>
      </c>
    </row>
    <row r="345" spans="1:22" x14ac:dyDescent="0.2">
      <c r="A345">
        <v>1000003701</v>
      </c>
      <c r="B345" t="s">
        <v>124</v>
      </c>
      <c r="C345">
        <v>1000001934</v>
      </c>
      <c r="D345" t="s">
        <v>125</v>
      </c>
      <c r="E345" t="s">
        <v>38</v>
      </c>
      <c r="F345">
        <v>2026</v>
      </c>
      <c r="G345">
        <v>7</v>
      </c>
      <c r="H345">
        <v>0</v>
      </c>
      <c r="I345" t="s">
        <v>39</v>
      </c>
      <c r="J345" t="s">
        <v>47</v>
      </c>
      <c r="L345" t="s">
        <v>54</v>
      </c>
      <c r="M345" t="s">
        <v>42</v>
      </c>
      <c r="O345" t="s">
        <v>48</v>
      </c>
      <c r="P345" t="s">
        <v>55</v>
      </c>
      <c r="Q345" t="s">
        <v>45</v>
      </c>
      <c r="R345">
        <v>0.45</v>
      </c>
      <c r="S345">
        <v>1395</v>
      </c>
      <c r="T345">
        <v>627.75</v>
      </c>
      <c r="U345">
        <v>46268.655147939811</v>
      </c>
      <c r="V345" t="s">
        <v>66</v>
      </c>
    </row>
    <row r="346" spans="1:22" x14ac:dyDescent="0.2">
      <c r="A346">
        <v>1000003701</v>
      </c>
      <c r="B346" t="s">
        <v>124</v>
      </c>
      <c r="C346">
        <v>1000001934</v>
      </c>
      <c r="D346" t="s">
        <v>125</v>
      </c>
      <c r="E346" t="s">
        <v>38</v>
      </c>
      <c r="F346">
        <v>2026</v>
      </c>
      <c r="G346">
        <v>7</v>
      </c>
      <c r="H346">
        <v>0</v>
      </c>
      <c r="I346" t="s">
        <v>39</v>
      </c>
      <c r="J346" t="s">
        <v>40</v>
      </c>
      <c r="L346" t="s">
        <v>64</v>
      </c>
      <c r="M346" t="s">
        <v>56</v>
      </c>
      <c r="O346" t="s">
        <v>67</v>
      </c>
      <c r="P346" t="s">
        <v>44</v>
      </c>
      <c r="Q346" t="s">
        <v>45</v>
      </c>
      <c r="R346">
        <v>0.3</v>
      </c>
      <c r="S346">
        <v>207</v>
      </c>
      <c r="T346">
        <v>62.1</v>
      </c>
      <c r="U346">
        <v>46268.655147939811</v>
      </c>
      <c r="V346" t="s">
        <v>58</v>
      </c>
    </row>
    <row r="347" spans="1:22" x14ac:dyDescent="0.2">
      <c r="A347">
        <v>1000003701</v>
      </c>
      <c r="B347" t="s">
        <v>124</v>
      </c>
      <c r="C347">
        <v>1000001934</v>
      </c>
      <c r="D347" t="s">
        <v>125</v>
      </c>
      <c r="E347" t="s">
        <v>38</v>
      </c>
      <c r="F347">
        <v>2026</v>
      </c>
      <c r="G347">
        <v>7</v>
      </c>
      <c r="H347">
        <v>0</v>
      </c>
      <c r="I347" t="s">
        <v>39</v>
      </c>
      <c r="J347" t="s">
        <v>40</v>
      </c>
      <c r="L347" t="s">
        <v>65</v>
      </c>
      <c r="M347" t="s">
        <v>56</v>
      </c>
      <c r="O347" t="s">
        <v>67</v>
      </c>
      <c r="P347" t="s">
        <v>44</v>
      </c>
      <c r="Q347" t="s">
        <v>45</v>
      </c>
      <c r="R347">
        <v>2.63</v>
      </c>
      <c r="S347">
        <v>204</v>
      </c>
      <c r="T347">
        <v>536.52</v>
      </c>
      <c r="U347">
        <v>46268.655147939811</v>
      </c>
      <c r="V347" t="s">
        <v>68</v>
      </c>
    </row>
    <row r="348" spans="1:22" x14ac:dyDescent="0.2">
      <c r="A348">
        <v>1000003701</v>
      </c>
      <c r="B348" t="s">
        <v>124</v>
      </c>
      <c r="C348">
        <v>1000001934</v>
      </c>
      <c r="D348" t="s">
        <v>125</v>
      </c>
      <c r="E348" t="s">
        <v>38</v>
      </c>
      <c r="F348">
        <v>2026</v>
      </c>
      <c r="G348">
        <v>7</v>
      </c>
      <c r="H348">
        <v>0</v>
      </c>
      <c r="I348" t="s">
        <v>39</v>
      </c>
      <c r="J348" t="s">
        <v>47</v>
      </c>
      <c r="L348" t="s">
        <v>41</v>
      </c>
      <c r="M348" t="s">
        <v>56</v>
      </c>
      <c r="O348" t="s">
        <v>57</v>
      </c>
      <c r="P348" t="s">
        <v>44</v>
      </c>
      <c r="Q348" t="s">
        <v>45</v>
      </c>
      <c r="R348">
        <v>0.125</v>
      </c>
      <c r="S348">
        <v>439</v>
      </c>
      <c r="T348">
        <v>54.87</v>
      </c>
      <c r="U348">
        <v>46268.655147939811</v>
      </c>
      <c r="V348" t="s">
        <v>58</v>
      </c>
    </row>
    <row r="349" spans="1:22" x14ac:dyDescent="0.2">
      <c r="A349">
        <v>1000003701</v>
      </c>
      <c r="B349" t="s">
        <v>124</v>
      </c>
      <c r="C349">
        <v>1000001934</v>
      </c>
      <c r="D349" t="s">
        <v>125</v>
      </c>
      <c r="E349" t="s">
        <v>38</v>
      </c>
      <c r="F349">
        <v>2026</v>
      </c>
      <c r="G349">
        <v>7</v>
      </c>
      <c r="H349">
        <v>0</v>
      </c>
      <c r="I349" t="s">
        <v>39</v>
      </c>
      <c r="J349" t="s">
        <v>47</v>
      </c>
      <c r="L349" t="s">
        <v>64</v>
      </c>
      <c r="M349" t="s">
        <v>56</v>
      </c>
      <c r="O349" t="s">
        <v>57</v>
      </c>
      <c r="P349" t="s">
        <v>44</v>
      </c>
      <c r="Q349" t="s">
        <v>45</v>
      </c>
      <c r="R349">
        <v>0.52500000000000002</v>
      </c>
      <c r="S349">
        <v>255</v>
      </c>
      <c r="T349">
        <v>133.87</v>
      </c>
      <c r="U349">
        <v>46268.655147939811</v>
      </c>
      <c r="V349" t="s">
        <v>58</v>
      </c>
    </row>
    <row r="350" spans="1:22" x14ac:dyDescent="0.2">
      <c r="A350">
        <v>1000003701</v>
      </c>
      <c r="B350" t="s">
        <v>124</v>
      </c>
      <c r="C350">
        <v>1000001934</v>
      </c>
      <c r="D350" t="s">
        <v>125</v>
      </c>
      <c r="E350" t="s">
        <v>38</v>
      </c>
      <c r="F350">
        <v>2026</v>
      </c>
      <c r="G350">
        <v>7</v>
      </c>
      <c r="H350">
        <v>0</v>
      </c>
      <c r="I350" t="s">
        <v>39</v>
      </c>
      <c r="J350" t="s">
        <v>47</v>
      </c>
      <c r="L350" t="s">
        <v>65</v>
      </c>
      <c r="M350" t="s">
        <v>56</v>
      </c>
      <c r="O350" t="s">
        <v>57</v>
      </c>
      <c r="P350" t="s">
        <v>44</v>
      </c>
      <c r="Q350" t="s">
        <v>45</v>
      </c>
      <c r="R350">
        <v>4.4349999999999996</v>
      </c>
      <c r="S350">
        <v>701</v>
      </c>
      <c r="T350">
        <v>3108.93</v>
      </c>
      <c r="U350">
        <v>46268.655147939811</v>
      </c>
      <c r="V350" t="s">
        <v>58</v>
      </c>
    </row>
    <row r="351" spans="1:22" x14ac:dyDescent="0.2">
      <c r="A351">
        <v>1000003983</v>
      </c>
      <c r="B351" t="s">
        <v>126</v>
      </c>
      <c r="C351">
        <v>1000003110</v>
      </c>
      <c r="D351" t="s">
        <v>127</v>
      </c>
      <c r="E351" t="s">
        <v>38</v>
      </c>
      <c r="F351">
        <v>2026</v>
      </c>
      <c r="G351">
        <v>7</v>
      </c>
      <c r="H351">
        <v>0</v>
      </c>
      <c r="I351" t="s">
        <v>39</v>
      </c>
      <c r="J351" t="s">
        <v>40</v>
      </c>
      <c r="L351" t="s">
        <v>41</v>
      </c>
      <c r="M351" t="s">
        <v>42</v>
      </c>
      <c r="O351" t="s">
        <v>43</v>
      </c>
      <c r="P351" t="s">
        <v>44</v>
      </c>
      <c r="Q351" t="s">
        <v>45</v>
      </c>
      <c r="R351">
        <v>3.05</v>
      </c>
      <c r="S351">
        <v>1164</v>
      </c>
      <c r="T351">
        <v>3550.2</v>
      </c>
      <c r="U351">
        <v>46268.655147939811</v>
      </c>
      <c r="V351" t="s">
        <v>46</v>
      </c>
    </row>
    <row r="352" spans="1:22" x14ac:dyDescent="0.2">
      <c r="A352">
        <v>1000003983</v>
      </c>
      <c r="B352" t="s">
        <v>126</v>
      </c>
      <c r="C352">
        <v>1000003110</v>
      </c>
      <c r="D352" t="s">
        <v>127</v>
      </c>
      <c r="E352" t="s">
        <v>38</v>
      </c>
      <c r="F352">
        <v>2026</v>
      </c>
      <c r="G352">
        <v>7</v>
      </c>
      <c r="H352">
        <v>0</v>
      </c>
      <c r="I352" t="s">
        <v>39</v>
      </c>
      <c r="J352" t="s">
        <v>40</v>
      </c>
      <c r="L352" t="s">
        <v>65</v>
      </c>
      <c r="M352" t="s">
        <v>42</v>
      </c>
      <c r="O352" t="s">
        <v>43</v>
      </c>
      <c r="P352" t="s">
        <v>44</v>
      </c>
      <c r="Q352" t="s">
        <v>45</v>
      </c>
      <c r="R352">
        <v>0.42</v>
      </c>
      <c r="S352">
        <v>167</v>
      </c>
      <c r="T352">
        <v>70.14</v>
      </c>
      <c r="U352">
        <v>46268.655147939811</v>
      </c>
      <c r="V352" t="s">
        <v>46</v>
      </c>
    </row>
    <row r="353" spans="1:22" x14ac:dyDescent="0.2">
      <c r="A353">
        <v>1000003983</v>
      </c>
      <c r="B353" t="s">
        <v>126</v>
      </c>
      <c r="C353">
        <v>1000003110</v>
      </c>
      <c r="D353" t="s">
        <v>127</v>
      </c>
      <c r="E353" t="s">
        <v>38</v>
      </c>
      <c r="F353">
        <v>2026</v>
      </c>
      <c r="G353">
        <v>7</v>
      </c>
      <c r="H353">
        <v>0</v>
      </c>
      <c r="I353" t="s">
        <v>39</v>
      </c>
      <c r="J353" t="s">
        <v>47</v>
      </c>
      <c r="L353" t="s">
        <v>41</v>
      </c>
      <c r="M353" t="s">
        <v>42</v>
      </c>
      <c r="O353" t="s">
        <v>48</v>
      </c>
      <c r="P353" t="s">
        <v>49</v>
      </c>
      <c r="Q353" t="s">
        <v>45</v>
      </c>
      <c r="R353">
        <v>4.3099999999999996</v>
      </c>
      <c r="S353">
        <v>2575</v>
      </c>
      <c r="T353">
        <v>11098.25</v>
      </c>
      <c r="U353">
        <v>46268.655147939811</v>
      </c>
      <c r="V353" t="s">
        <v>66</v>
      </c>
    </row>
    <row r="354" spans="1:22" x14ac:dyDescent="0.2">
      <c r="A354">
        <v>1000003983</v>
      </c>
      <c r="B354" t="s">
        <v>126</v>
      </c>
      <c r="C354">
        <v>1000003110</v>
      </c>
      <c r="D354" t="s">
        <v>127</v>
      </c>
      <c r="E354" t="s">
        <v>38</v>
      </c>
      <c r="F354">
        <v>2026</v>
      </c>
      <c r="G354">
        <v>7</v>
      </c>
      <c r="H354">
        <v>0</v>
      </c>
      <c r="I354" t="s">
        <v>39</v>
      </c>
      <c r="J354" t="s">
        <v>47</v>
      </c>
      <c r="L354" t="s">
        <v>51</v>
      </c>
      <c r="M354" t="s">
        <v>42</v>
      </c>
      <c r="O354" t="s">
        <v>48</v>
      </c>
      <c r="P354" t="s">
        <v>52</v>
      </c>
      <c r="Q354" t="s">
        <v>45</v>
      </c>
      <c r="R354">
        <v>0.09</v>
      </c>
      <c r="S354">
        <v>2945</v>
      </c>
      <c r="T354">
        <v>265.05</v>
      </c>
      <c r="U354">
        <v>46268.655147939811</v>
      </c>
      <c r="V354" t="s">
        <v>53</v>
      </c>
    </row>
    <row r="355" spans="1:22" x14ac:dyDescent="0.2">
      <c r="A355">
        <v>1000003983</v>
      </c>
      <c r="B355" t="s">
        <v>126</v>
      </c>
      <c r="C355">
        <v>1000003110</v>
      </c>
      <c r="D355" t="s">
        <v>127</v>
      </c>
      <c r="E355" t="s">
        <v>38</v>
      </c>
      <c r="F355">
        <v>2026</v>
      </c>
      <c r="G355">
        <v>7</v>
      </c>
      <c r="H355">
        <v>0</v>
      </c>
      <c r="I355" t="s">
        <v>39</v>
      </c>
      <c r="J355" t="s">
        <v>47</v>
      </c>
      <c r="L355" t="s">
        <v>54</v>
      </c>
      <c r="M355" t="s">
        <v>42</v>
      </c>
      <c r="O355" t="s">
        <v>48</v>
      </c>
      <c r="P355" t="s">
        <v>55</v>
      </c>
      <c r="Q355" t="s">
        <v>45</v>
      </c>
      <c r="R355">
        <v>0.45</v>
      </c>
      <c r="S355">
        <v>2945</v>
      </c>
      <c r="T355">
        <v>1325.25</v>
      </c>
      <c r="U355">
        <v>46268.655147939811</v>
      </c>
      <c r="V355" t="s">
        <v>66</v>
      </c>
    </row>
    <row r="356" spans="1:22" x14ac:dyDescent="0.2">
      <c r="A356">
        <v>1000003983</v>
      </c>
      <c r="B356" t="s">
        <v>126</v>
      </c>
      <c r="C356">
        <v>1000003110</v>
      </c>
      <c r="D356" t="s">
        <v>127</v>
      </c>
      <c r="E356" t="s">
        <v>38</v>
      </c>
      <c r="F356">
        <v>2026</v>
      </c>
      <c r="G356">
        <v>7</v>
      </c>
      <c r="H356">
        <v>0</v>
      </c>
      <c r="I356" t="s">
        <v>39</v>
      </c>
      <c r="J356" t="s">
        <v>40</v>
      </c>
      <c r="L356" t="s">
        <v>65</v>
      </c>
      <c r="M356" t="s">
        <v>56</v>
      </c>
      <c r="O356" t="s">
        <v>67</v>
      </c>
      <c r="P356" t="s">
        <v>44</v>
      </c>
      <c r="Q356" t="s">
        <v>45</v>
      </c>
      <c r="R356">
        <v>2.63</v>
      </c>
      <c r="S356">
        <v>167</v>
      </c>
      <c r="T356">
        <v>439.21</v>
      </c>
      <c r="U356">
        <v>46268.655147939811</v>
      </c>
      <c r="V356" t="s">
        <v>68</v>
      </c>
    </row>
    <row r="357" spans="1:22" x14ac:dyDescent="0.2">
      <c r="A357">
        <v>1000003983</v>
      </c>
      <c r="B357" t="s">
        <v>126</v>
      </c>
      <c r="C357">
        <v>1000003110</v>
      </c>
      <c r="D357" t="s">
        <v>127</v>
      </c>
      <c r="E357" t="s">
        <v>38</v>
      </c>
      <c r="F357">
        <v>2026</v>
      </c>
      <c r="G357">
        <v>7</v>
      </c>
      <c r="H357">
        <v>0</v>
      </c>
      <c r="I357" t="s">
        <v>39</v>
      </c>
      <c r="J357" t="s">
        <v>47</v>
      </c>
      <c r="L357" t="s">
        <v>41</v>
      </c>
      <c r="M357" t="s">
        <v>56</v>
      </c>
      <c r="O357" t="s">
        <v>57</v>
      </c>
      <c r="P357" t="s">
        <v>44</v>
      </c>
      <c r="Q357" t="s">
        <v>45</v>
      </c>
      <c r="R357">
        <v>0.125</v>
      </c>
      <c r="S357">
        <v>2575</v>
      </c>
      <c r="T357">
        <v>321.87</v>
      </c>
      <c r="U357">
        <v>46268.655147939811</v>
      </c>
      <c r="V357" t="s">
        <v>58</v>
      </c>
    </row>
    <row r="358" spans="1:22" x14ac:dyDescent="0.2">
      <c r="A358">
        <v>1000003983</v>
      </c>
      <c r="B358" t="s">
        <v>126</v>
      </c>
      <c r="C358">
        <v>1000003110</v>
      </c>
      <c r="D358" t="s">
        <v>127</v>
      </c>
      <c r="E358" t="s">
        <v>38</v>
      </c>
      <c r="F358">
        <v>2026</v>
      </c>
      <c r="G358">
        <v>7</v>
      </c>
      <c r="H358">
        <v>0</v>
      </c>
      <c r="I358" t="s">
        <v>39</v>
      </c>
      <c r="J358" t="s">
        <v>47</v>
      </c>
      <c r="L358" t="s">
        <v>65</v>
      </c>
      <c r="M358" t="s">
        <v>56</v>
      </c>
      <c r="O358" t="s">
        <v>57</v>
      </c>
      <c r="P358" t="s">
        <v>44</v>
      </c>
      <c r="Q358" t="s">
        <v>45</v>
      </c>
      <c r="R358">
        <v>4.4349999999999996</v>
      </c>
      <c r="S358">
        <v>370</v>
      </c>
      <c r="T358">
        <v>1640.95</v>
      </c>
      <c r="U358">
        <v>46268.655147939811</v>
      </c>
      <c r="V358" t="s">
        <v>58</v>
      </c>
    </row>
    <row r="359" spans="1:22" x14ac:dyDescent="0.2">
      <c r="A359">
        <v>1000003983</v>
      </c>
      <c r="B359" t="s">
        <v>126</v>
      </c>
      <c r="C359">
        <v>1000002804</v>
      </c>
      <c r="D359" t="s">
        <v>128</v>
      </c>
      <c r="E359" t="s">
        <v>38</v>
      </c>
      <c r="F359">
        <v>2026</v>
      </c>
      <c r="G359">
        <v>7</v>
      </c>
      <c r="H359">
        <v>0</v>
      </c>
      <c r="I359" t="s">
        <v>39</v>
      </c>
      <c r="J359" t="s">
        <v>40</v>
      </c>
      <c r="L359" t="s">
        <v>41</v>
      </c>
      <c r="M359" t="s">
        <v>42</v>
      </c>
      <c r="O359" t="s">
        <v>43</v>
      </c>
      <c r="P359" t="s">
        <v>44</v>
      </c>
      <c r="Q359" t="s">
        <v>45</v>
      </c>
      <c r="R359">
        <v>2.54</v>
      </c>
      <c r="S359">
        <v>16</v>
      </c>
      <c r="T359">
        <v>40.64</v>
      </c>
      <c r="U359">
        <v>46268.655147939811</v>
      </c>
      <c r="V359" t="s">
        <v>72</v>
      </c>
    </row>
    <row r="360" spans="1:22" x14ac:dyDescent="0.2">
      <c r="A360">
        <v>1000003983</v>
      </c>
      <c r="B360" t="s">
        <v>126</v>
      </c>
      <c r="C360">
        <v>1000002804</v>
      </c>
      <c r="D360" t="s">
        <v>128</v>
      </c>
      <c r="E360" t="s">
        <v>38</v>
      </c>
      <c r="F360">
        <v>2026</v>
      </c>
      <c r="G360">
        <v>7</v>
      </c>
      <c r="H360">
        <v>0</v>
      </c>
      <c r="I360" t="s">
        <v>39</v>
      </c>
      <c r="J360" t="s">
        <v>40</v>
      </c>
      <c r="L360" t="s">
        <v>65</v>
      </c>
      <c r="M360" t="s">
        <v>42</v>
      </c>
      <c r="O360" t="s">
        <v>43</v>
      </c>
      <c r="P360" t="s">
        <v>44</v>
      </c>
      <c r="Q360" t="s">
        <v>45</v>
      </c>
      <c r="R360">
        <v>0.42</v>
      </c>
      <c r="S360">
        <v>8</v>
      </c>
      <c r="T360">
        <v>3.36</v>
      </c>
      <c r="U360">
        <v>46268.655147939811</v>
      </c>
      <c r="V360" t="s">
        <v>72</v>
      </c>
    </row>
    <row r="361" spans="1:22" x14ac:dyDescent="0.2">
      <c r="A361">
        <v>1000003983</v>
      </c>
      <c r="B361" t="s">
        <v>126</v>
      </c>
      <c r="C361">
        <v>1000002804</v>
      </c>
      <c r="D361" t="s">
        <v>128</v>
      </c>
      <c r="E361" t="s">
        <v>38</v>
      </c>
      <c r="F361">
        <v>2026</v>
      </c>
      <c r="G361">
        <v>7</v>
      </c>
      <c r="H361">
        <v>0</v>
      </c>
      <c r="I361" t="s">
        <v>39</v>
      </c>
      <c r="J361" t="s">
        <v>47</v>
      </c>
      <c r="L361" t="s">
        <v>41</v>
      </c>
      <c r="M361" t="s">
        <v>42</v>
      </c>
      <c r="O361" t="s">
        <v>48</v>
      </c>
      <c r="P361" t="s">
        <v>49</v>
      </c>
      <c r="Q361" t="s">
        <v>45</v>
      </c>
      <c r="R361">
        <v>4.3099999999999996</v>
      </c>
      <c r="S361">
        <v>17</v>
      </c>
      <c r="T361">
        <v>73.27</v>
      </c>
      <c r="U361">
        <v>46268.655147939811</v>
      </c>
      <c r="V361" t="s">
        <v>66</v>
      </c>
    </row>
    <row r="362" spans="1:22" x14ac:dyDescent="0.2">
      <c r="A362">
        <v>1000003983</v>
      </c>
      <c r="B362" t="s">
        <v>126</v>
      </c>
      <c r="C362">
        <v>1000002804</v>
      </c>
      <c r="D362" t="s">
        <v>128</v>
      </c>
      <c r="E362" t="s">
        <v>38</v>
      </c>
      <c r="F362">
        <v>2026</v>
      </c>
      <c r="G362">
        <v>7</v>
      </c>
      <c r="H362">
        <v>0</v>
      </c>
      <c r="I362" t="s">
        <v>39</v>
      </c>
      <c r="J362" t="s">
        <v>47</v>
      </c>
      <c r="L362" t="s">
        <v>51</v>
      </c>
      <c r="M362" t="s">
        <v>42</v>
      </c>
      <c r="O362" t="s">
        <v>48</v>
      </c>
      <c r="P362" t="s">
        <v>52</v>
      </c>
      <c r="Q362" t="s">
        <v>45</v>
      </c>
      <c r="R362">
        <v>0.09</v>
      </c>
      <c r="S362">
        <v>29</v>
      </c>
      <c r="T362">
        <v>2.61</v>
      </c>
      <c r="U362">
        <v>46268.655147939811</v>
      </c>
      <c r="V362" t="s">
        <v>53</v>
      </c>
    </row>
    <row r="363" spans="1:22" x14ac:dyDescent="0.2">
      <c r="A363">
        <v>1000003983</v>
      </c>
      <c r="B363" t="s">
        <v>126</v>
      </c>
      <c r="C363">
        <v>1000002804</v>
      </c>
      <c r="D363" t="s">
        <v>128</v>
      </c>
      <c r="E363" t="s">
        <v>38</v>
      </c>
      <c r="F363">
        <v>2026</v>
      </c>
      <c r="G363">
        <v>7</v>
      </c>
      <c r="H363">
        <v>0</v>
      </c>
      <c r="I363" t="s">
        <v>39</v>
      </c>
      <c r="J363" t="s">
        <v>47</v>
      </c>
      <c r="L363" t="s">
        <v>54</v>
      </c>
      <c r="M363" t="s">
        <v>42</v>
      </c>
      <c r="O363" t="s">
        <v>48</v>
      </c>
      <c r="P363" t="s">
        <v>55</v>
      </c>
      <c r="Q363" t="s">
        <v>45</v>
      </c>
      <c r="R363">
        <v>0.45</v>
      </c>
      <c r="S363">
        <v>29</v>
      </c>
      <c r="T363">
        <v>13.05</v>
      </c>
      <c r="U363">
        <v>46268.655147939811</v>
      </c>
      <c r="V363" t="s">
        <v>66</v>
      </c>
    </row>
    <row r="364" spans="1:22" x14ac:dyDescent="0.2">
      <c r="A364">
        <v>1000003983</v>
      </c>
      <c r="B364" t="s">
        <v>126</v>
      </c>
      <c r="C364">
        <v>1000002804</v>
      </c>
      <c r="D364" t="s">
        <v>128</v>
      </c>
      <c r="E364" t="s">
        <v>38</v>
      </c>
      <c r="F364">
        <v>2026</v>
      </c>
      <c r="G364">
        <v>7</v>
      </c>
      <c r="H364">
        <v>0</v>
      </c>
      <c r="I364" t="s">
        <v>39</v>
      </c>
      <c r="J364" t="s">
        <v>40</v>
      </c>
      <c r="L364" t="s">
        <v>65</v>
      </c>
      <c r="M364" t="s">
        <v>56</v>
      </c>
      <c r="O364" t="s">
        <v>67</v>
      </c>
      <c r="P364" t="s">
        <v>44</v>
      </c>
      <c r="Q364" t="s">
        <v>45</v>
      </c>
      <c r="R364">
        <v>2.12</v>
      </c>
      <c r="S364">
        <v>8</v>
      </c>
      <c r="T364">
        <v>16.96</v>
      </c>
      <c r="U364">
        <v>46268.655147939811</v>
      </c>
      <c r="V364" t="s">
        <v>73</v>
      </c>
    </row>
    <row r="365" spans="1:22" x14ac:dyDescent="0.2">
      <c r="A365">
        <v>1000003983</v>
      </c>
      <c r="B365" t="s">
        <v>126</v>
      </c>
      <c r="C365">
        <v>1000002804</v>
      </c>
      <c r="D365" t="s">
        <v>128</v>
      </c>
      <c r="E365" t="s">
        <v>38</v>
      </c>
      <c r="F365">
        <v>2026</v>
      </c>
      <c r="G365">
        <v>7</v>
      </c>
      <c r="H365">
        <v>0</v>
      </c>
      <c r="I365" t="s">
        <v>39</v>
      </c>
      <c r="J365" t="s">
        <v>47</v>
      </c>
      <c r="L365" t="s">
        <v>41</v>
      </c>
      <c r="M365" t="s">
        <v>56</v>
      </c>
      <c r="O365" t="s">
        <v>57</v>
      </c>
      <c r="P365" t="s">
        <v>44</v>
      </c>
      <c r="Q365" t="s">
        <v>45</v>
      </c>
      <c r="R365">
        <v>0.125</v>
      </c>
      <c r="S365">
        <v>17</v>
      </c>
      <c r="T365">
        <v>2.12</v>
      </c>
      <c r="U365">
        <v>46268.655147939811</v>
      </c>
      <c r="V365" t="s">
        <v>58</v>
      </c>
    </row>
    <row r="366" spans="1:22" x14ac:dyDescent="0.2">
      <c r="A366">
        <v>1000003983</v>
      </c>
      <c r="B366" t="s">
        <v>126</v>
      </c>
      <c r="C366">
        <v>1000002804</v>
      </c>
      <c r="D366" t="s">
        <v>128</v>
      </c>
      <c r="E366" t="s">
        <v>38</v>
      </c>
      <c r="F366">
        <v>2026</v>
      </c>
      <c r="G366">
        <v>7</v>
      </c>
      <c r="H366">
        <v>0</v>
      </c>
      <c r="I366" t="s">
        <v>39</v>
      </c>
      <c r="J366" t="s">
        <v>47</v>
      </c>
      <c r="L366" t="s">
        <v>65</v>
      </c>
      <c r="M366" t="s">
        <v>56</v>
      </c>
      <c r="O366" t="s">
        <v>57</v>
      </c>
      <c r="P366" t="s">
        <v>44</v>
      </c>
      <c r="Q366" t="s">
        <v>45</v>
      </c>
      <c r="R366">
        <v>4.4349999999999996</v>
      </c>
      <c r="S366">
        <v>12</v>
      </c>
      <c r="T366">
        <v>53.22</v>
      </c>
      <c r="U366">
        <v>46268.655147939811</v>
      </c>
      <c r="V366" t="s">
        <v>58</v>
      </c>
    </row>
    <row r="367" spans="1:22" x14ac:dyDescent="0.2">
      <c r="A367">
        <v>1000003983</v>
      </c>
      <c r="B367" t="s">
        <v>126</v>
      </c>
      <c r="C367">
        <v>1000002022</v>
      </c>
      <c r="D367" t="s">
        <v>129</v>
      </c>
      <c r="E367" t="s">
        <v>38</v>
      </c>
      <c r="F367">
        <v>2026</v>
      </c>
      <c r="G367">
        <v>7</v>
      </c>
      <c r="H367">
        <v>0</v>
      </c>
      <c r="I367" t="s">
        <v>39</v>
      </c>
      <c r="J367" t="s">
        <v>40</v>
      </c>
      <c r="L367" t="s">
        <v>41</v>
      </c>
      <c r="M367" t="s">
        <v>42</v>
      </c>
      <c r="O367" t="s">
        <v>43</v>
      </c>
      <c r="P367" t="s">
        <v>44</v>
      </c>
      <c r="Q367" t="s">
        <v>45</v>
      </c>
      <c r="R367">
        <v>3.05</v>
      </c>
      <c r="S367">
        <v>65</v>
      </c>
      <c r="T367">
        <v>198.25</v>
      </c>
      <c r="U367">
        <v>46268.655147939811</v>
      </c>
      <c r="V367" t="s">
        <v>46</v>
      </c>
    </row>
    <row r="368" spans="1:22" x14ac:dyDescent="0.2">
      <c r="A368">
        <v>1000003983</v>
      </c>
      <c r="B368" t="s">
        <v>126</v>
      </c>
      <c r="C368">
        <v>1000002022</v>
      </c>
      <c r="D368" t="s">
        <v>129</v>
      </c>
      <c r="E368" t="s">
        <v>38</v>
      </c>
      <c r="F368">
        <v>2026</v>
      </c>
      <c r="G368">
        <v>7</v>
      </c>
      <c r="H368">
        <v>0</v>
      </c>
      <c r="I368" t="s">
        <v>39</v>
      </c>
      <c r="J368" t="s">
        <v>40</v>
      </c>
      <c r="L368" t="s">
        <v>64</v>
      </c>
      <c r="M368" t="s">
        <v>42</v>
      </c>
      <c r="O368" t="s">
        <v>43</v>
      </c>
      <c r="P368" t="s">
        <v>44</v>
      </c>
      <c r="Q368" t="s">
        <v>45</v>
      </c>
      <c r="R368">
        <v>2.75</v>
      </c>
      <c r="S368">
        <v>13</v>
      </c>
      <c r="T368">
        <v>35.75</v>
      </c>
      <c r="U368">
        <v>46268.655147939811</v>
      </c>
      <c r="V368" t="s">
        <v>46</v>
      </c>
    </row>
    <row r="369" spans="1:22" x14ac:dyDescent="0.2">
      <c r="A369">
        <v>1000003983</v>
      </c>
      <c r="B369" t="s">
        <v>126</v>
      </c>
      <c r="C369">
        <v>1000002022</v>
      </c>
      <c r="D369" t="s">
        <v>129</v>
      </c>
      <c r="E369" t="s">
        <v>38</v>
      </c>
      <c r="F369">
        <v>2026</v>
      </c>
      <c r="G369">
        <v>7</v>
      </c>
      <c r="H369">
        <v>0</v>
      </c>
      <c r="I369" t="s">
        <v>39</v>
      </c>
      <c r="J369" t="s">
        <v>40</v>
      </c>
      <c r="L369" t="s">
        <v>65</v>
      </c>
      <c r="M369" t="s">
        <v>42</v>
      </c>
      <c r="O369" t="s">
        <v>43</v>
      </c>
      <c r="P369" t="s">
        <v>44</v>
      </c>
      <c r="Q369" t="s">
        <v>45</v>
      </c>
      <c r="R369">
        <v>0.42</v>
      </c>
      <c r="S369">
        <v>105</v>
      </c>
      <c r="T369">
        <v>44.1</v>
      </c>
      <c r="U369">
        <v>46268.655147939811</v>
      </c>
      <c r="V369" t="s">
        <v>46</v>
      </c>
    </row>
    <row r="370" spans="1:22" x14ac:dyDescent="0.2">
      <c r="A370">
        <v>1000003983</v>
      </c>
      <c r="B370" t="s">
        <v>126</v>
      </c>
      <c r="C370">
        <v>1000002022</v>
      </c>
      <c r="D370" t="s">
        <v>129</v>
      </c>
      <c r="E370" t="s">
        <v>38</v>
      </c>
      <c r="F370">
        <v>2026</v>
      </c>
      <c r="G370">
        <v>7</v>
      </c>
      <c r="H370">
        <v>0</v>
      </c>
      <c r="I370" t="s">
        <v>39</v>
      </c>
      <c r="J370" t="s">
        <v>47</v>
      </c>
      <c r="L370" t="s">
        <v>41</v>
      </c>
      <c r="M370" t="s">
        <v>42</v>
      </c>
      <c r="O370" t="s">
        <v>48</v>
      </c>
      <c r="P370" t="s">
        <v>49</v>
      </c>
      <c r="Q370" t="s">
        <v>45</v>
      </c>
      <c r="R370">
        <v>4.3099999999999996</v>
      </c>
      <c r="S370">
        <v>64</v>
      </c>
      <c r="T370">
        <v>275.83999999999997</v>
      </c>
      <c r="U370">
        <v>46268.655147939811</v>
      </c>
      <c r="V370" t="s">
        <v>66</v>
      </c>
    </row>
    <row r="371" spans="1:22" x14ac:dyDescent="0.2">
      <c r="A371">
        <v>1000003983</v>
      </c>
      <c r="B371" t="s">
        <v>126</v>
      </c>
      <c r="C371">
        <v>1000002022</v>
      </c>
      <c r="D371" t="s">
        <v>129</v>
      </c>
      <c r="E371" t="s">
        <v>38</v>
      </c>
      <c r="F371">
        <v>2026</v>
      </c>
      <c r="G371">
        <v>7</v>
      </c>
      <c r="H371">
        <v>0</v>
      </c>
      <c r="I371" t="s">
        <v>39</v>
      </c>
      <c r="J371" t="s">
        <v>47</v>
      </c>
      <c r="L371" t="s">
        <v>51</v>
      </c>
      <c r="M371" t="s">
        <v>42</v>
      </c>
      <c r="O371" t="s">
        <v>48</v>
      </c>
      <c r="P371" t="s">
        <v>52</v>
      </c>
      <c r="Q371" t="s">
        <v>45</v>
      </c>
      <c r="R371">
        <v>0.09</v>
      </c>
      <c r="S371">
        <v>182</v>
      </c>
      <c r="T371">
        <v>16.38</v>
      </c>
      <c r="U371">
        <v>46268.655147939811</v>
      </c>
      <c r="V371" t="s">
        <v>53</v>
      </c>
    </row>
    <row r="372" spans="1:22" x14ac:dyDescent="0.2">
      <c r="A372">
        <v>1000003983</v>
      </c>
      <c r="B372" t="s">
        <v>126</v>
      </c>
      <c r="C372">
        <v>1000002022</v>
      </c>
      <c r="D372" t="s">
        <v>129</v>
      </c>
      <c r="E372" t="s">
        <v>38</v>
      </c>
      <c r="F372">
        <v>2026</v>
      </c>
      <c r="G372">
        <v>7</v>
      </c>
      <c r="H372">
        <v>0</v>
      </c>
      <c r="I372" t="s">
        <v>39</v>
      </c>
      <c r="J372" t="s">
        <v>47</v>
      </c>
      <c r="L372" t="s">
        <v>64</v>
      </c>
      <c r="M372" t="s">
        <v>42</v>
      </c>
      <c r="O372" t="s">
        <v>48</v>
      </c>
      <c r="P372" t="s">
        <v>49</v>
      </c>
      <c r="Q372" t="s">
        <v>45</v>
      </c>
      <c r="R372">
        <v>3.91</v>
      </c>
      <c r="S372">
        <v>14</v>
      </c>
      <c r="T372">
        <v>54.74</v>
      </c>
      <c r="U372">
        <v>46268.655147939811</v>
      </c>
      <c r="V372" t="s">
        <v>66</v>
      </c>
    </row>
    <row r="373" spans="1:22" x14ac:dyDescent="0.2">
      <c r="A373">
        <v>1000003983</v>
      </c>
      <c r="B373" t="s">
        <v>126</v>
      </c>
      <c r="C373">
        <v>1000002022</v>
      </c>
      <c r="D373" t="s">
        <v>129</v>
      </c>
      <c r="E373" t="s">
        <v>38</v>
      </c>
      <c r="F373">
        <v>2026</v>
      </c>
      <c r="G373">
        <v>7</v>
      </c>
      <c r="H373">
        <v>0</v>
      </c>
      <c r="I373" t="s">
        <v>39</v>
      </c>
      <c r="J373" t="s">
        <v>47</v>
      </c>
      <c r="L373" t="s">
        <v>54</v>
      </c>
      <c r="M373" t="s">
        <v>42</v>
      </c>
      <c r="O373" t="s">
        <v>48</v>
      </c>
      <c r="P373" t="s">
        <v>55</v>
      </c>
      <c r="Q373" t="s">
        <v>45</v>
      </c>
      <c r="R373">
        <v>0.45</v>
      </c>
      <c r="S373">
        <v>182</v>
      </c>
      <c r="T373">
        <v>81.900000000000006</v>
      </c>
      <c r="U373">
        <v>46268.655147939811</v>
      </c>
      <c r="V373" t="s">
        <v>66</v>
      </c>
    </row>
    <row r="374" spans="1:22" x14ac:dyDescent="0.2">
      <c r="A374">
        <v>1000003983</v>
      </c>
      <c r="B374" t="s">
        <v>126</v>
      </c>
      <c r="C374">
        <v>1000002022</v>
      </c>
      <c r="D374" t="s">
        <v>129</v>
      </c>
      <c r="E374" t="s">
        <v>38</v>
      </c>
      <c r="F374">
        <v>2026</v>
      </c>
      <c r="G374">
        <v>7</v>
      </c>
      <c r="H374">
        <v>0</v>
      </c>
      <c r="I374" t="s">
        <v>39</v>
      </c>
      <c r="J374" t="s">
        <v>40</v>
      </c>
      <c r="L374" t="s">
        <v>64</v>
      </c>
      <c r="M374" t="s">
        <v>56</v>
      </c>
      <c r="O374" t="s">
        <v>67</v>
      </c>
      <c r="P374" t="s">
        <v>44</v>
      </c>
      <c r="Q374" t="s">
        <v>45</v>
      </c>
      <c r="R374">
        <v>0.3</v>
      </c>
      <c r="S374">
        <v>13</v>
      </c>
      <c r="T374">
        <v>3.9</v>
      </c>
      <c r="U374">
        <v>46268.655147939811</v>
      </c>
      <c r="V374" t="s">
        <v>58</v>
      </c>
    </row>
    <row r="375" spans="1:22" x14ac:dyDescent="0.2">
      <c r="A375">
        <v>1000003983</v>
      </c>
      <c r="B375" t="s">
        <v>126</v>
      </c>
      <c r="C375">
        <v>1000002022</v>
      </c>
      <c r="D375" t="s">
        <v>129</v>
      </c>
      <c r="E375" t="s">
        <v>38</v>
      </c>
      <c r="F375">
        <v>2026</v>
      </c>
      <c r="G375">
        <v>7</v>
      </c>
      <c r="H375">
        <v>0</v>
      </c>
      <c r="I375" t="s">
        <v>39</v>
      </c>
      <c r="J375" t="s">
        <v>40</v>
      </c>
      <c r="L375" t="s">
        <v>65</v>
      </c>
      <c r="M375" t="s">
        <v>56</v>
      </c>
      <c r="O375" t="s">
        <v>67</v>
      </c>
      <c r="P375" t="s">
        <v>44</v>
      </c>
      <c r="Q375" t="s">
        <v>45</v>
      </c>
      <c r="R375">
        <v>2.63</v>
      </c>
      <c r="S375">
        <v>105</v>
      </c>
      <c r="T375">
        <v>276.14999999999998</v>
      </c>
      <c r="U375">
        <v>46268.655147939811</v>
      </c>
      <c r="V375" t="s">
        <v>68</v>
      </c>
    </row>
    <row r="376" spans="1:22" x14ac:dyDescent="0.2">
      <c r="A376">
        <v>1000003983</v>
      </c>
      <c r="B376" t="s">
        <v>126</v>
      </c>
      <c r="C376">
        <v>1000002022</v>
      </c>
      <c r="D376" t="s">
        <v>129</v>
      </c>
      <c r="E376" t="s">
        <v>38</v>
      </c>
      <c r="F376">
        <v>2026</v>
      </c>
      <c r="G376">
        <v>7</v>
      </c>
      <c r="H376">
        <v>0</v>
      </c>
      <c r="I376" t="s">
        <v>39</v>
      </c>
      <c r="J376" t="s">
        <v>47</v>
      </c>
      <c r="L376" t="s">
        <v>41</v>
      </c>
      <c r="M376" t="s">
        <v>56</v>
      </c>
      <c r="O376" t="s">
        <v>57</v>
      </c>
      <c r="P376" t="s">
        <v>44</v>
      </c>
      <c r="Q376" t="s">
        <v>45</v>
      </c>
      <c r="R376">
        <v>0.125</v>
      </c>
      <c r="S376">
        <v>64</v>
      </c>
      <c r="T376">
        <v>8</v>
      </c>
      <c r="U376">
        <v>46268.655147939811</v>
      </c>
      <c r="V376" t="s">
        <v>58</v>
      </c>
    </row>
    <row r="377" spans="1:22" x14ac:dyDescent="0.2">
      <c r="A377">
        <v>1000003983</v>
      </c>
      <c r="B377" t="s">
        <v>126</v>
      </c>
      <c r="C377">
        <v>1000002022</v>
      </c>
      <c r="D377" t="s">
        <v>129</v>
      </c>
      <c r="E377" t="s">
        <v>38</v>
      </c>
      <c r="F377">
        <v>2026</v>
      </c>
      <c r="G377">
        <v>7</v>
      </c>
      <c r="H377">
        <v>0</v>
      </c>
      <c r="I377" t="s">
        <v>39</v>
      </c>
      <c r="J377" t="s">
        <v>47</v>
      </c>
      <c r="L377" t="s">
        <v>64</v>
      </c>
      <c r="M377" t="s">
        <v>56</v>
      </c>
      <c r="O377" t="s">
        <v>57</v>
      </c>
      <c r="P377" t="s">
        <v>44</v>
      </c>
      <c r="Q377" t="s">
        <v>45</v>
      </c>
      <c r="R377">
        <v>0.52500000000000002</v>
      </c>
      <c r="S377">
        <v>14</v>
      </c>
      <c r="T377">
        <v>7.35</v>
      </c>
      <c r="U377">
        <v>46268.655147939811</v>
      </c>
      <c r="V377" t="s">
        <v>58</v>
      </c>
    </row>
    <row r="378" spans="1:22" x14ac:dyDescent="0.2">
      <c r="A378">
        <v>1000003983</v>
      </c>
      <c r="B378" t="s">
        <v>126</v>
      </c>
      <c r="C378">
        <v>1000002022</v>
      </c>
      <c r="D378" t="s">
        <v>129</v>
      </c>
      <c r="E378" t="s">
        <v>38</v>
      </c>
      <c r="F378">
        <v>2026</v>
      </c>
      <c r="G378">
        <v>7</v>
      </c>
      <c r="H378">
        <v>0</v>
      </c>
      <c r="I378" t="s">
        <v>39</v>
      </c>
      <c r="J378" t="s">
        <v>47</v>
      </c>
      <c r="L378" t="s">
        <v>65</v>
      </c>
      <c r="M378" t="s">
        <v>56</v>
      </c>
      <c r="O378" t="s">
        <v>57</v>
      </c>
      <c r="P378" t="s">
        <v>44</v>
      </c>
      <c r="Q378" t="s">
        <v>45</v>
      </c>
      <c r="R378">
        <v>4.4349999999999996</v>
      </c>
      <c r="S378">
        <v>104</v>
      </c>
      <c r="T378">
        <v>461.24</v>
      </c>
      <c r="U378">
        <v>46268.655147939811</v>
      </c>
      <c r="V378" t="s">
        <v>58</v>
      </c>
    </row>
    <row r="379" spans="1:22" x14ac:dyDescent="0.2">
      <c r="A379">
        <v>1000004011</v>
      </c>
      <c r="B379" t="s">
        <v>130</v>
      </c>
      <c r="C379">
        <v>1000002271</v>
      </c>
      <c r="D379" t="s">
        <v>131</v>
      </c>
      <c r="E379" t="s">
        <v>38</v>
      </c>
      <c r="F379">
        <v>2026</v>
      </c>
      <c r="G379">
        <v>7</v>
      </c>
      <c r="H379">
        <v>0</v>
      </c>
      <c r="I379" t="s">
        <v>39</v>
      </c>
      <c r="J379" t="s">
        <v>40</v>
      </c>
      <c r="L379" t="s">
        <v>41</v>
      </c>
      <c r="M379" t="s">
        <v>42</v>
      </c>
      <c r="O379" t="s">
        <v>43</v>
      </c>
      <c r="P379" t="s">
        <v>44</v>
      </c>
      <c r="Q379" t="s">
        <v>45</v>
      </c>
      <c r="R379">
        <v>3.05</v>
      </c>
      <c r="S379">
        <v>359</v>
      </c>
      <c r="T379">
        <v>1094.95</v>
      </c>
      <c r="U379">
        <v>46268.655147939811</v>
      </c>
      <c r="V379" t="s">
        <v>46</v>
      </c>
    </row>
    <row r="380" spans="1:22" x14ac:dyDescent="0.2">
      <c r="A380">
        <v>1000004011</v>
      </c>
      <c r="B380" t="s">
        <v>130</v>
      </c>
      <c r="C380">
        <v>1000002271</v>
      </c>
      <c r="D380" t="s">
        <v>131</v>
      </c>
      <c r="E380" t="s">
        <v>38</v>
      </c>
      <c r="F380">
        <v>2026</v>
      </c>
      <c r="G380">
        <v>7</v>
      </c>
      <c r="H380">
        <v>0</v>
      </c>
      <c r="I380" t="s">
        <v>39</v>
      </c>
      <c r="J380" t="s">
        <v>40</v>
      </c>
      <c r="L380" t="s">
        <v>64</v>
      </c>
      <c r="M380" t="s">
        <v>42</v>
      </c>
      <c r="O380" t="s">
        <v>43</v>
      </c>
      <c r="P380" t="s">
        <v>44</v>
      </c>
      <c r="Q380" t="s">
        <v>45</v>
      </c>
      <c r="R380">
        <v>2.75</v>
      </c>
      <c r="S380">
        <v>66</v>
      </c>
      <c r="T380">
        <v>181.5</v>
      </c>
      <c r="U380">
        <v>46268.655147939811</v>
      </c>
      <c r="V380" t="s">
        <v>46</v>
      </c>
    </row>
    <row r="381" spans="1:22" x14ac:dyDescent="0.2">
      <c r="A381">
        <v>1000004011</v>
      </c>
      <c r="B381" t="s">
        <v>130</v>
      </c>
      <c r="C381">
        <v>1000002271</v>
      </c>
      <c r="D381" t="s">
        <v>131</v>
      </c>
      <c r="E381" t="s">
        <v>38</v>
      </c>
      <c r="F381">
        <v>2026</v>
      </c>
      <c r="G381">
        <v>7</v>
      </c>
      <c r="H381">
        <v>0</v>
      </c>
      <c r="I381" t="s">
        <v>39</v>
      </c>
      <c r="J381" t="s">
        <v>40</v>
      </c>
      <c r="L381" t="s">
        <v>65</v>
      </c>
      <c r="M381" t="s">
        <v>42</v>
      </c>
      <c r="O381" t="s">
        <v>43</v>
      </c>
      <c r="P381" t="s">
        <v>44</v>
      </c>
      <c r="Q381" t="s">
        <v>45</v>
      </c>
      <c r="R381">
        <v>0.42</v>
      </c>
      <c r="S381">
        <v>471</v>
      </c>
      <c r="T381">
        <v>197.82</v>
      </c>
      <c r="U381">
        <v>46268.655147939811</v>
      </c>
      <c r="V381" t="s">
        <v>46</v>
      </c>
    </row>
    <row r="382" spans="1:22" x14ac:dyDescent="0.2">
      <c r="A382">
        <v>1000004011</v>
      </c>
      <c r="B382" t="s">
        <v>130</v>
      </c>
      <c r="C382">
        <v>1000002271</v>
      </c>
      <c r="D382" t="s">
        <v>131</v>
      </c>
      <c r="E382" t="s">
        <v>38</v>
      </c>
      <c r="F382">
        <v>2026</v>
      </c>
      <c r="G382">
        <v>7</v>
      </c>
      <c r="H382">
        <v>0</v>
      </c>
      <c r="I382" t="s">
        <v>39</v>
      </c>
      <c r="J382" t="s">
        <v>47</v>
      </c>
      <c r="L382" t="s">
        <v>41</v>
      </c>
      <c r="M382" t="s">
        <v>42</v>
      </c>
      <c r="O382" t="s">
        <v>48</v>
      </c>
      <c r="P382" t="s">
        <v>49</v>
      </c>
      <c r="Q382" t="s">
        <v>45</v>
      </c>
      <c r="R382">
        <v>4.3099999999999996</v>
      </c>
      <c r="S382">
        <v>614</v>
      </c>
      <c r="T382">
        <v>2646.34</v>
      </c>
      <c r="U382">
        <v>46268.655147939811</v>
      </c>
      <c r="V382" t="s">
        <v>66</v>
      </c>
    </row>
    <row r="383" spans="1:22" x14ac:dyDescent="0.2">
      <c r="A383">
        <v>1000004011</v>
      </c>
      <c r="B383" t="s">
        <v>130</v>
      </c>
      <c r="C383">
        <v>1000002271</v>
      </c>
      <c r="D383" t="s">
        <v>131</v>
      </c>
      <c r="E383" t="s">
        <v>38</v>
      </c>
      <c r="F383">
        <v>2026</v>
      </c>
      <c r="G383">
        <v>7</v>
      </c>
      <c r="H383">
        <v>0</v>
      </c>
      <c r="I383" t="s">
        <v>39</v>
      </c>
      <c r="J383" t="s">
        <v>47</v>
      </c>
      <c r="L383" t="s">
        <v>51</v>
      </c>
      <c r="M383" t="s">
        <v>42</v>
      </c>
      <c r="O383" t="s">
        <v>48</v>
      </c>
      <c r="P383" t="s">
        <v>52</v>
      </c>
      <c r="Q383" t="s">
        <v>45</v>
      </c>
      <c r="R383">
        <v>0.09</v>
      </c>
      <c r="S383">
        <v>1558</v>
      </c>
      <c r="T383">
        <v>140.22</v>
      </c>
      <c r="U383">
        <v>46268.655147939811</v>
      </c>
      <c r="V383" t="s">
        <v>53</v>
      </c>
    </row>
    <row r="384" spans="1:22" x14ac:dyDescent="0.2">
      <c r="A384">
        <v>1000004011</v>
      </c>
      <c r="B384" t="s">
        <v>130</v>
      </c>
      <c r="C384">
        <v>1000002271</v>
      </c>
      <c r="D384" t="s">
        <v>131</v>
      </c>
      <c r="E384" t="s">
        <v>38</v>
      </c>
      <c r="F384">
        <v>2026</v>
      </c>
      <c r="G384">
        <v>7</v>
      </c>
      <c r="H384">
        <v>0</v>
      </c>
      <c r="I384" t="s">
        <v>39</v>
      </c>
      <c r="J384" t="s">
        <v>47</v>
      </c>
      <c r="L384" t="s">
        <v>64</v>
      </c>
      <c r="M384" t="s">
        <v>42</v>
      </c>
      <c r="O384" t="s">
        <v>48</v>
      </c>
      <c r="P384" t="s">
        <v>49</v>
      </c>
      <c r="Q384" t="s">
        <v>45</v>
      </c>
      <c r="R384">
        <v>3.91</v>
      </c>
      <c r="S384">
        <v>140</v>
      </c>
      <c r="T384">
        <v>547.4</v>
      </c>
      <c r="U384">
        <v>46268.655147939811</v>
      </c>
      <c r="V384" t="s">
        <v>66</v>
      </c>
    </row>
    <row r="385" spans="1:22" x14ac:dyDescent="0.2">
      <c r="A385">
        <v>1000004011</v>
      </c>
      <c r="B385" t="s">
        <v>130</v>
      </c>
      <c r="C385">
        <v>1000002271</v>
      </c>
      <c r="D385" t="s">
        <v>131</v>
      </c>
      <c r="E385" t="s">
        <v>38</v>
      </c>
      <c r="F385">
        <v>2026</v>
      </c>
      <c r="G385">
        <v>7</v>
      </c>
      <c r="H385">
        <v>0</v>
      </c>
      <c r="I385" t="s">
        <v>39</v>
      </c>
      <c r="J385" t="s">
        <v>47</v>
      </c>
      <c r="L385" t="s">
        <v>54</v>
      </c>
      <c r="M385" t="s">
        <v>42</v>
      </c>
      <c r="O385" t="s">
        <v>48</v>
      </c>
      <c r="P385" t="s">
        <v>55</v>
      </c>
      <c r="Q385" t="s">
        <v>45</v>
      </c>
      <c r="R385">
        <v>0.45</v>
      </c>
      <c r="S385">
        <v>1558</v>
      </c>
      <c r="T385">
        <v>701.1</v>
      </c>
      <c r="U385">
        <v>46268.655147939811</v>
      </c>
      <c r="V385" t="s">
        <v>66</v>
      </c>
    </row>
    <row r="386" spans="1:22" x14ac:dyDescent="0.2">
      <c r="A386">
        <v>1000004011</v>
      </c>
      <c r="B386" t="s">
        <v>130</v>
      </c>
      <c r="C386">
        <v>1000002271</v>
      </c>
      <c r="D386" t="s">
        <v>131</v>
      </c>
      <c r="E386" t="s">
        <v>38</v>
      </c>
      <c r="F386">
        <v>2026</v>
      </c>
      <c r="G386">
        <v>7</v>
      </c>
      <c r="H386">
        <v>0</v>
      </c>
      <c r="I386" t="s">
        <v>39</v>
      </c>
      <c r="J386" t="s">
        <v>40</v>
      </c>
      <c r="L386" t="s">
        <v>64</v>
      </c>
      <c r="M386" t="s">
        <v>56</v>
      </c>
      <c r="O386" t="s">
        <v>67</v>
      </c>
      <c r="P386" t="s">
        <v>44</v>
      </c>
      <c r="Q386" t="s">
        <v>45</v>
      </c>
      <c r="R386">
        <v>0.3</v>
      </c>
      <c r="S386">
        <v>66</v>
      </c>
      <c r="T386">
        <v>19.8</v>
      </c>
      <c r="U386">
        <v>46268.655147939811</v>
      </c>
      <c r="V386" t="s">
        <v>58</v>
      </c>
    </row>
    <row r="387" spans="1:22" x14ac:dyDescent="0.2">
      <c r="A387">
        <v>1000004011</v>
      </c>
      <c r="B387" t="s">
        <v>130</v>
      </c>
      <c r="C387">
        <v>1000002271</v>
      </c>
      <c r="D387" t="s">
        <v>131</v>
      </c>
      <c r="E387" t="s">
        <v>38</v>
      </c>
      <c r="F387">
        <v>2026</v>
      </c>
      <c r="G387">
        <v>7</v>
      </c>
      <c r="H387">
        <v>0</v>
      </c>
      <c r="I387" t="s">
        <v>39</v>
      </c>
      <c r="J387" t="s">
        <v>40</v>
      </c>
      <c r="L387" t="s">
        <v>65</v>
      </c>
      <c r="M387" t="s">
        <v>56</v>
      </c>
      <c r="O387" t="s">
        <v>67</v>
      </c>
      <c r="P387" t="s">
        <v>44</v>
      </c>
      <c r="Q387" t="s">
        <v>45</v>
      </c>
      <c r="R387">
        <v>2.63</v>
      </c>
      <c r="S387">
        <v>471</v>
      </c>
      <c r="T387">
        <v>1238.73</v>
      </c>
      <c r="U387">
        <v>46268.655147939811</v>
      </c>
      <c r="V387" t="s">
        <v>68</v>
      </c>
    </row>
    <row r="388" spans="1:22" x14ac:dyDescent="0.2">
      <c r="A388">
        <v>1000004011</v>
      </c>
      <c r="B388" t="s">
        <v>130</v>
      </c>
      <c r="C388">
        <v>1000002271</v>
      </c>
      <c r="D388" t="s">
        <v>131</v>
      </c>
      <c r="E388" t="s">
        <v>38</v>
      </c>
      <c r="F388">
        <v>2026</v>
      </c>
      <c r="G388">
        <v>7</v>
      </c>
      <c r="H388">
        <v>0</v>
      </c>
      <c r="I388" t="s">
        <v>39</v>
      </c>
      <c r="J388" t="s">
        <v>47</v>
      </c>
      <c r="L388" t="s">
        <v>41</v>
      </c>
      <c r="M388" t="s">
        <v>56</v>
      </c>
      <c r="O388" t="s">
        <v>57</v>
      </c>
      <c r="P388" t="s">
        <v>44</v>
      </c>
      <c r="Q388" t="s">
        <v>45</v>
      </c>
      <c r="R388">
        <v>0.125</v>
      </c>
      <c r="S388">
        <v>614</v>
      </c>
      <c r="T388">
        <v>76.75</v>
      </c>
      <c r="U388">
        <v>46268.655147939811</v>
      </c>
      <c r="V388" t="s">
        <v>58</v>
      </c>
    </row>
    <row r="389" spans="1:22" x14ac:dyDescent="0.2">
      <c r="A389">
        <v>1000004011</v>
      </c>
      <c r="B389" t="s">
        <v>130</v>
      </c>
      <c r="C389">
        <v>1000002271</v>
      </c>
      <c r="D389" t="s">
        <v>131</v>
      </c>
      <c r="E389" t="s">
        <v>38</v>
      </c>
      <c r="F389">
        <v>2026</v>
      </c>
      <c r="G389">
        <v>7</v>
      </c>
      <c r="H389">
        <v>0</v>
      </c>
      <c r="I389" t="s">
        <v>39</v>
      </c>
      <c r="J389" t="s">
        <v>47</v>
      </c>
      <c r="L389" t="s">
        <v>64</v>
      </c>
      <c r="M389" t="s">
        <v>56</v>
      </c>
      <c r="O389" t="s">
        <v>57</v>
      </c>
      <c r="P389" t="s">
        <v>44</v>
      </c>
      <c r="Q389" t="s">
        <v>45</v>
      </c>
      <c r="R389">
        <v>0.52500000000000002</v>
      </c>
      <c r="S389">
        <v>140</v>
      </c>
      <c r="T389">
        <v>73.5</v>
      </c>
      <c r="U389">
        <v>46268.655147939811</v>
      </c>
      <c r="V389" t="s">
        <v>58</v>
      </c>
    </row>
    <row r="390" spans="1:22" x14ac:dyDescent="0.2">
      <c r="A390">
        <v>1000004011</v>
      </c>
      <c r="B390" t="s">
        <v>130</v>
      </c>
      <c r="C390">
        <v>1000002271</v>
      </c>
      <c r="D390" t="s">
        <v>131</v>
      </c>
      <c r="E390" t="s">
        <v>38</v>
      </c>
      <c r="F390">
        <v>2026</v>
      </c>
      <c r="G390">
        <v>7</v>
      </c>
      <c r="H390">
        <v>0</v>
      </c>
      <c r="I390" t="s">
        <v>39</v>
      </c>
      <c r="J390" t="s">
        <v>47</v>
      </c>
      <c r="L390" t="s">
        <v>65</v>
      </c>
      <c r="M390" t="s">
        <v>56</v>
      </c>
      <c r="O390" t="s">
        <v>57</v>
      </c>
      <c r="P390" t="s">
        <v>44</v>
      </c>
      <c r="Q390" t="s">
        <v>45</v>
      </c>
      <c r="R390">
        <v>4.4349999999999996</v>
      </c>
      <c r="S390">
        <v>804</v>
      </c>
      <c r="T390">
        <v>3565.74</v>
      </c>
      <c r="U390">
        <v>46268.655147939811</v>
      </c>
      <c r="V390" t="s">
        <v>58</v>
      </c>
    </row>
    <row r="391" spans="1:22" x14ac:dyDescent="0.2">
      <c r="A391">
        <v>1000004011</v>
      </c>
      <c r="B391" t="s">
        <v>130</v>
      </c>
      <c r="C391">
        <v>1000006709</v>
      </c>
      <c r="D391" t="s">
        <v>132</v>
      </c>
      <c r="E391" t="s">
        <v>38</v>
      </c>
      <c r="F391">
        <v>2026</v>
      </c>
      <c r="G391">
        <v>7</v>
      </c>
      <c r="H391">
        <v>0</v>
      </c>
      <c r="I391" t="s">
        <v>39</v>
      </c>
      <c r="J391" t="s">
        <v>40</v>
      </c>
      <c r="L391" t="s">
        <v>41</v>
      </c>
      <c r="M391" t="s">
        <v>42</v>
      </c>
      <c r="O391" t="s">
        <v>43</v>
      </c>
      <c r="P391" t="s">
        <v>44</v>
      </c>
      <c r="Q391" t="s">
        <v>45</v>
      </c>
      <c r="R391">
        <v>2.54</v>
      </c>
      <c r="S391">
        <v>496</v>
      </c>
      <c r="T391">
        <v>1259.8399999999999</v>
      </c>
      <c r="U391">
        <v>46268.655147939811</v>
      </c>
      <c r="V391" t="s">
        <v>72</v>
      </c>
    </row>
    <row r="392" spans="1:22" x14ac:dyDescent="0.2">
      <c r="A392">
        <v>1000004011</v>
      </c>
      <c r="B392" t="s">
        <v>130</v>
      </c>
      <c r="C392">
        <v>1000006709</v>
      </c>
      <c r="D392" t="s">
        <v>132</v>
      </c>
      <c r="E392" t="s">
        <v>38</v>
      </c>
      <c r="F392">
        <v>2026</v>
      </c>
      <c r="G392">
        <v>7</v>
      </c>
      <c r="H392">
        <v>0</v>
      </c>
      <c r="I392" t="s">
        <v>39</v>
      </c>
      <c r="J392" t="s">
        <v>40</v>
      </c>
      <c r="L392" t="s">
        <v>64</v>
      </c>
      <c r="M392" t="s">
        <v>42</v>
      </c>
      <c r="O392" t="s">
        <v>43</v>
      </c>
      <c r="P392" t="s">
        <v>44</v>
      </c>
      <c r="Q392" t="s">
        <v>45</v>
      </c>
      <c r="R392">
        <v>2.2400000000000002</v>
      </c>
      <c r="S392">
        <v>103</v>
      </c>
      <c r="T392">
        <v>230.72</v>
      </c>
      <c r="U392">
        <v>46268.655147939811</v>
      </c>
      <c r="V392" t="s">
        <v>72</v>
      </c>
    </row>
    <row r="393" spans="1:22" x14ac:dyDescent="0.2">
      <c r="A393">
        <v>1000004011</v>
      </c>
      <c r="B393" t="s">
        <v>130</v>
      </c>
      <c r="C393">
        <v>1000006709</v>
      </c>
      <c r="D393" t="s">
        <v>132</v>
      </c>
      <c r="E393" t="s">
        <v>38</v>
      </c>
      <c r="F393">
        <v>2026</v>
      </c>
      <c r="G393">
        <v>7</v>
      </c>
      <c r="H393">
        <v>0</v>
      </c>
      <c r="I393" t="s">
        <v>39</v>
      </c>
      <c r="J393" t="s">
        <v>40</v>
      </c>
      <c r="L393" t="s">
        <v>65</v>
      </c>
      <c r="M393" t="s">
        <v>42</v>
      </c>
      <c r="O393" t="s">
        <v>43</v>
      </c>
      <c r="P393" t="s">
        <v>44</v>
      </c>
      <c r="Q393" t="s">
        <v>45</v>
      </c>
      <c r="R393">
        <v>0.42</v>
      </c>
      <c r="S393">
        <v>271</v>
      </c>
      <c r="T393">
        <v>113.82</v>
      </c>
      <c r="U393">
        <v>46268.655147939811</v>
      </c>
      <c r="V393" t="s">
        <v>72</v>
      </c>
    </row>
    <row r="394" spans="1:22" x14ac:dyDescent="0.2">
      <c r="A394">
        <v>1000004011</v>
      </c>
      <c r="B394" t="s">
        <v>130</v>
      </c>
      <c r="C394">
        <v>1000006709</v>
      </c>
      <c r="D394" t="s">
        <v>132</v>
      </c>
      <c r="E394" t="s">
        <v>38</v>
      </c>
      <c r="F394">
        <v>2026</v>
      </c>
      <c r="G394">
        <v>7</v>
      </c>
      <c r="H394">
        <v>0</v>
      </c>
      <c r="I394" t="s">
        <v>39</v>
      </c>
      <c r="J394" t="s">
        <v>47</v>
      </c>
      <c r="L394" t="s">
        <v>41</v>
      </c>
      <c r="M394" t="s">
        <v>42</v>
      </c>
      <c r="O394" t="s">
        <v>48</v>
      </c>
      <c r="P394" t="s">
        <v>49</v>
      </c>
      <c r="Q394" t="s">
        <v>45</v>
      </c>
      <c r="R394">
        <v>4.3099999999999996</v>
      </c>
      <c r="S394">
        <v>943</v>
      </c>
      <c r="T394">
        <v>4064.33</v>
      </c>
      <c r="U394">
        <v>46268.655147939811</v>
      </c>
      <c r="V394" t="s">
        <v>66</v>
      </c>
    </row>
    <row r="395" spans="1:22" x14ac:dyDescent="0.2">
      <c r="A395">
        <v>1000004011</v>
      </c>
      <c r="B395" t="s">
        <v>130</v>
      </c>
      <c r="C395">
        <v>1000006709</v>
      </c>
      <c r="D395" t="s">
        <v>132</v>
      </c>
      <c r="E395" t="s">
        <v>38</v>
      </c>
      <c r="F395">
        <v>2026</v>
      </c>
      <c r="G395">
        <v>7</v>
      </c>
      <c r="H395">
        <v>0</v>
      </c>
      <c r="I395" t="s">
        <v>39</v>
      </c>
      <c r="J395" t="s">
        <v>47</v>
      </c>
      <c r="L395" t="s">
        <v>51</v>
      </c>
      <c r="M395" t="s">
        <v>42</v>
      </c>
      <c r="O395" t="s">
        <v>48</v>
      </c>
      <c r="P395" t="s">
        <v>52</v>
      </c>
      <c r="Q395" t="s">
        <v>45</v>
      </c>
      <c r="R395">
        <v>0.09</v>
      </c>
      <c r="S395">
        <v>1673</v>
      </c>
      <c r="T395">
        <v>150.57</v>
      </c>
      <c r="U395">
        <v>46268.655147939811</v>
      </c>
      <c r="V395" t="s">
        <v>53</v>
      </c>
    </row>
    <row r="396" spans="1:22" x14ac:dyDescent="0.2">
      <c r="A396">
        <v>1000004011</v>
      </c>
      <c r="B396" t="s">
        <v>130</v>
      </c>
      <c r="C396">
        <v>1000006709</v>
      </c>
      <c r="D396" t="s">
        <v>132</v>
      </c>
      <c r="E396" t="s">
        <v>38</v>
      </c>
      <c r="F396">
        <v>2026</v>
      </c>
      <c r="G396">
        <v>7</v>
      </c>
      <c r="H396">
        <v>0</v>
      </c>
      <c r="I396" t="s">
        <v>39</v>
      </c>
      <c r="J396" t="s">
        <v>47</v>
      </c>
      <c r="L396" t="s">
        <v>64</v>
      </c>
      <c r="M396" t="s">
        <v>42</v>
      </c>
      <c r="O396" t="s">
        <v>48</v>
      </c>
      <c r="P396" t="s">
        <v>49</v>
      </c>
      <c r="Q396" t="s">
        <v>45</v>
      </c>
      <c r="R396">
        <v>3.91</v>
      </c>
      <c r="S396">
        <v>192</v>
      </c>
      <c r="T396">
        <v>750.72</v>
      </c>
      <c r="U396">
        <v>46268.655147939811</v>
      </c>
      <c r="V396" t="s">
        <v>66</v>
      </c>
    </row>
    <row r="397" spans="1:22" x14ac:dyDescent="0.2">
      <c r="A397">
        <v>1000004011</v>
      </c>
      <c r="B397" t="s">
        <v>130</v>
      </c>
      <c r="C397">
        <v>1000006709</v>
      </c>
      <c r="D397" t="s">
        <v>132</v>
      </c>
      <c r="E397" t="s">
        <v>38</v>
      </c>
      <c r="F397">
        <v>2026</v>
      </c>
      <c r="G397">
        <v>7</v>
      </c>
      <c r="H397">
        <v>0</v>
      </c>
      <c r="I397" t="s">
        <v>39</v>
      </c>
      <c r="J397" t="s">
        <v>47</v>
      </c>
      <c r="L397" t="s">
        <v>54</v>
      </c>
      <c r="M397" t="s">
        <v>42</v>
      </c>
      <c r="O397" t="s">
        <v>48</v>
      </c>
      <c r="P397" t="s">
        <v>55</v>
      </c>
      <c r="Q397" t="s">
        <v>45</v>
      </c>
      <c r="R397">
        <v>0.45</v>
      </c>
      <c r="S397">
        <v>1673</v>
      </c>
      <c r="T397">
        <v>752.85</v>
      </c>
      <c r="U397">
        <v>46268.655147939811</v>
      </c>
      <c r="V397" t="s">
        <v>66</v>
      </c>
    </row>
    <row r="398" spans="1:22" x14ac:dyDescent="0.2">
      <c r="A398">
        <v>1000004011</v>
      </c>
      <c r="B398" t="s">
        <v>130</v>
      </c>
      <c r="C398">
        <v>1000006709</v>
      </c>
      <c r="D398" t="s">
        <v>132</v>
      </c>
      <c r="E398" t="s">
        <v>38</v>
      </c>
      <c r="F398">
        <v>2026</v>
      </c>
      <c r="G398">
        <v>7</v>
      </c>
      <c r="H398">
        <v>0</v>
      </c>
      <c r="I398" t="s">
        <v>39</v>
      </c>
      <c r="J398" t="s">
        <v>40</v>
      </c>
      <c r="L398" t="s">
        <v>64</v>
      </c>
      <c r="M398" t="s">
        <v>56</v>
      </c>
      <c r="O398" t="s">
        <v>67</v>
      </c>
      <c r="P398" t="s">
        <v>44</v>
      </c>
      <c r="Q398" t="s">
        <v>45</v>
      </c>
      <c r="R398">
        <v>0.3</v>
      </c>
      <c r="S398">
        <v>103</v>
      </c>
      <c r="T398">
        <v>30.9</v>
      </c>
      <c r="U398">
        <v>46268.655147939811</v>
      </c>
      <c r="V398" t="s">
        <v>58</v>
      </c>
    </row>
    <row r="399" spans="1:22" x14ac:dyDescent="0.2">
      <c r="A399">
        <v>1000004011</v>
      </c>
      <c r="B399" t="s">
        <v>130</v>
      </c>
      <c r="C399">
        <v>1000006709</v>
      </c>
      <c r="D399" t="s">
        <v>132</v>
      </c>
      <c r="E399" t="s">
        <v>38</v>
      </c>
      <c r="F399">
        <v>2026</v>
      </c>
      <c r="G399">
        <v>7</v>
      </c>
      <c r="H399">
        <v>0</v>
      </c>
      <c r="I399" t="s">
        <v>39</v>
      </c>
      <c r="J399" t="s">
        <v>40</v>
      </c>
      <c r="L399" t="s">
        <v>65</v>
      </c>
      <c r="M399" t="s">
        <v>56</v>
      </c>
      <c r="O399" t="s">
        <v>67</v>
      </c>
      <c r="P399" t="s">
        <v>44</v>
      </c>
      <c r="Q399" t="s">
        <v>45</v>
      </c>
      <c r="R399">
        <v>2.12</v>
      </c>
      <c r="S399">
        <v>271</v>
      </c>
      <c r="T399">
        <v>574.52</v>
      </c>
      <c r="U399">
        <v>46268.655147939811</v>
      </c>
      <c r="V399" t="s">
        <v>73</v>
      </c>
    </row>
    <row r="400" spans="1:22" x14ac:dyDescent="0.2">
      <c r="A400">
        <v>1000004011</v>
      </c>
      <c r="B400" t="s">
        <v>130</v>
      </c>
      <c r="C400">
        <v>1000006709</v>
      </c>
      <c r="D400" t="s">
        <v>132</v>
      </c>
      <c r="E400" t="s">
        <v>38</v>
      </c>
      <c r="F400">
        <v>2026</v>
      </c>
      <c r="G400">
        <v>7</v>
      </c>
      <c r="H400">
        <v>0</v>
      </c>
      <c r="I400" t="s">
        <v>39</v>
      </c>
      <c r="J400" t="s">
        <v>47</v>
      </c>
      <c r="L400" t="s">
        <v>41</v>
      </c>
      <c r="M400" t="s">
        <v>56</v>
      </c>
      <c r="O400" t="s">
        <v>57</v>
      </c>
      <c r="P400" t="s">
        <v>44</v>
      </c>
      <c r="Q400" t="s">
        <v>45</v>
      </c>
      <c r="R400">
        <v>0.125</v>
      </c>
      <c r="S400">
        <v>943</v>
      </c>
      <c r="T400">
        <v>117.87</v>
      </c>
      <c r="U400">
        <v>46268.655147939811</v>
      </c>
      <c r="V400" t="s">
        <v>58</v>
      </c>
    </row>
    <row r="401" spans="1:22" x14ac:dyDescent="0.2">
      <c r="A401">
        <v>1000004011</v>
      </c>
      <c r="B401" t="s">
        <v>130</v>
      </c>
      <c r="C401">
        <v>1000006709</v>
      </c>
      <c r="D401" t="s">
        <v>132</v>
      </c>
      <c r="E401" t="s">
        <v>38</v>
      </c>
      <c r="F401">
        <v>2026</v>
      </c>
      <c r="G401">
        <v>7</v>
      </c>
      <c r="H401">
        <v>0</v>
      </c>
      <c r="I401" t="s">
        <v>39</v>
      </c>
      <c r="J401" t="s">
        <v>47</v>
      </c>
      <c r="L401" t="s">
        <v>64</v>
      </c>
      <c r="M401" t="s">
        <v>56</v>
      </c>
      <c r="O401" t="s">
        <v>57</v>
      </c>
      <c r="P401" t="s">
        <v>44</v>
      </c>
      <c r="Q401" t="s">
        <v>45</v>
      </c>
      <c r="R401">
        <v>0.52500000000000002</v>
      </c>
      <c r="S401">
        <v>192</v>
      </c>
      <c r="T401">
        <v>100.8</v>
      </c>
      <c r="U401">
        <v>46268.655147939811</v>
      </c>
      <c r="V401" t="s">
        <v>58</v>
      </c>
    </row>
    <row r="402" spans="1:22" x14ac:dyDescent="0.2">
      <c r="A402">
        <v>1000004011</v>
      </c>
      <c r="B402" t="s">
        <v>130</v>
      </c>
      <c r="C402">
        <v>1000006709</v>
      </c>
      <c r="D402" t="s">
        <v>132</v>
      </c>
      <c r="E402" t="s">
        <v>38</v>
      </c>
      <c r="F402">
        <v>2026</v>
      </c>
      <c r="G402">
        <v>7</v>
      </c>
      <c r="H402">
        <v>0</v>
      </c>
      <c r="I402" t="s">
        <v>39</v>
      </c>
      <c r="J402" t="s">
        <v>47</v>
      </c>
      <c r="L402" t="s">
        <v>65</v>
      </c>
      <c r="M402" t="s">
        <v>56</v>
      </c>
      <c r="O402" t="s">
        <v>57</v>
      </c>
      <c r="P402" t="s">
        <v>44</v>
      </c>
      <c r="Q402" t="s">
        <v>45</v>
      </c>
      <c r="R402">
        <v>4.4349999999999996</v>
      </c>
      <c r="S402">
        <v>538</v>
      </c>
      <c r="T402">
        <v>2386.0300000000002</v>
      </c>
      <c r="U402">
        <v>46268.655147939811</v>
      </c>
      <c r="V402" t="s">
        <v>58</v>
      </c>
    </row>
    <row r="403" spans="1:22" x14ac:dyDescent="0.2">
      <c r="A403">
        <v>1000004011</v>
      </c>
      <c r="B403" t="s">
        <v>130</v>
      </c>
      <c r="C403">
        <v>1000004573</v>
      </c>
      <c r="D403" t="s">
        <v>133</v>
      </c>
      <c r="E403" t="s">
        <v>38</v>
      </c>
      <c r="F403">
        <v>2026</v>
      </c>
      <c r="G403">
        <v>7</v>
      </c>
      <c r="H403">
        <v>0</v>
      </c>
      <c r="I403" t="s">
        <v>39</v>
      </c>
      <c r="J403" t="s">
        <v>40</v>
      </c>
      <c r="L403" t="s">
        <v>41</v>
      </c>
      <c r="M403" t="s">
        <v>42</v>
      </c>
      <c r="O403" t="s">
        <v>43</v>
      </c>
      <c r="P403" t="s">
        <v>44</v>
      </c>
      <c r="Q403" t="s">
        <v>45</v>
      </c>
      <c r="R403">
        <v>3.05</v>
      </c>
      <c r="S403">
        <v>607</v>
      </c>
      <c r="T403">
        <v>1851.35</v>
      </c>
      <c r="U403">
        <v>46268.655147939811</v>
      </c>
      <c r="V403" t="s">
        <v>46</v>
      </c>
    </row>
    <row r="404" spans="1:22" x14ac:dyDescent="0.2">
      <c r="A404">
        <v>1000004011</v>
      </c>
      <c r="B404" t="s">
        <v>130</v>
      </c>
      <c r="C404">
        <v>1000004573</v>
      </c>
      <c r="D404" t="s">
        <v>133</v>
      </c>
      <c r="E404" t="s">
        <v>38</v>
      </c>
      <c r="F404">
        <v>2026</v>
      </c>
      <c r="G404">
        <v>7</v>
      </c>
      <c r="H404">
        <v>0</v>
      </c>
      <c r="I404" t="s">
        <v>39</v>
      </c>
      <c r="J404" t="s">
        <v>40</v>
      </c>
      <c r="L404" t="s">
        <v>64</v>
      </c>
      <c r="M404" t="s">
        <v>42</v>
      </c>
      <c r="O404" t="s">
        <v>43</v>
      </c>
      <c r="P404" t="s">
        <v>44</v>
      </c>
      <c r="Q404" t="s">
        <v>45</v>
      </c>
      <c r="R404">
        <v>2.75</v>
      </c>
      <c r="S404">
        <v>247</v>
      </c>
      <c r="T404">
        <v>679.25</v>
      </c>
      <c r="U404">
        <v>46268.655147939811</v>
      </c>
      <c r="V404" t="s">
        <v>46</v>
      </c>
    </row>
    <row r="405" spans="1:22" x14ac:dyDescent="0.2">
      <c r="A405">
        <v>1000004011</v>
      </c>
      <c r="B405" t="s">
        <v>130</v>
      </c>
      <c r="C405">
        <v>1000004573</v>
      </c>
      <c r="D405" t="s">
        <v>133</v>
      </c>
      <c r="E405" t="s">
        <v>38</v>
      </c>
      <c r="F405">
        <v>2026</v>
      </c>
      <c r="G405">
        <v>7</v>
      </c>
      <c r="H405">
        <v>0</v>
      </c>
      <c r="I405" t="s">
        <v>39</v>
      </c>
      <c r="J405" t="s">
        <v>40</v>
      </c>
      <c r="L405" t="s">
        <v>65</v>
      </c>
      <c r="M405" t="s">
        <v>42</v>
      </c>
      <c r="O405" t="s">
        <v>43</v>
      </c>
      <c r="P405" t="s">
        <v>44</v>
      </c>
      <c r="Q405" t="s">
        <v>45</v>
      </c>
      <c r="R405">
        <v>0.42</v>
      </c>
      <c r="S405">
        <v>699</v>
      </c>
      <c r="T405">
        <v>293.58</v>
      </c>
      <c r="U405">
        <v>46268.655147939811</v>
      </c>
      <c r="V405" t="s">
        <v>46</v>
      </c>
    </row>
    <row r="406" spans="1:22" x14ac:dyDescent="0.2">
      <c r="A406">
        <v>1000004011</v>
      </c>
      <c r="B406" t="s">
        <v>130</v>
      </c>
      <c r="C406">
        <v>1000004573</v>
      </c>
      <c r="D406" t="s">
        <v>133</v>
      </c>
      <c r="E406" t="s">
        <v>38</v>
      </c>
      <c r="F406">
        <v>2026</v>
      </c>
      <c r="G406">
        <v>7</v>
      </c>
      <c r="H406">
        <v>0</v>
      </c>
      <c r="I406" t="s">
        <v>39</v>
      </c>
      <c r="J406" t="s">
        <v>47</v>
      </c>
      <c r="L406" t="s">
        <v>41</v>
      </c>
      <c r="M406" t="s">
        <v>42</v>
      </c>
      <c r="O406" t="s">
        <v>48</v>
      </c>
      <c r="P406" t="s">
        <v>49</v>
      </c>
      <c r="Q406" t="s">
        <v>45</v>
      </c>
      <c r="R406">
        <v>4.3099999999999996</v>
      </c>
      <c r="S406">
        <v>1507</v>
      </c>
      <c r="T406">
        <v>6495.17</v>
      </c>
      <c r="U406">
        <v>46268.655147939811</v>
      </c>
      <c r="V406" t="s">
        <v>66</v>
      </c>
    </row>
    <row r="407" spans="1:22" x14ac:dyDescent="0.2">
      <c r="A407">
        <v>1000004011</v>
      </c>
      <c r="B407" t="s">
        <v>130</v>
      </c>
      <c r="C407">
        <v>1000004573</v>
      </c>
      <c r="D407" t="s">
        <v>133</v>
      </c>
      <c r="E407" t="s">
        <v>38</v>
      </c>
      <c r="F407">
        <v>2026</v>
      </c>
      <c r="G407">
        <v>7</v>
      </c>
      <c r="H407">
        <v>0</v>
      </c>
      <c r="I407" t="s">
        <v>39</v>
      </c>
      <c r="J407" t="s">
        <v>47</v>
      </c>
      <c r="L407" t="s">
        <v>51</v>
      </c>
      <c r="M407" t="s">
        <v>42</v>
      </c>
      <c r="O407" t="s">
        <v>48</v>
      </c>
      <c r="P407" t="s">
        <v>52</v>
      </c>
      <c r="Q407" t="s">
        <v>45</v>
      </c>
      <c r="R407">
        <v>0.09</v>
      </c>
      <c r="S407">
        <v>3607</v>
      </c>
      <c r="T407">
        <v>324.63</v>
      </c>
      <c r="U407">
        <v>46268.655147939811</v>
      </c>
      <c r="V407" t="s">
        <v>53</v>
      </c>
    </row>
    <row r="408" spans="1:22" x14ac:dyDescent="0.2">
      <c r="A408">
        <v>1000004011</v>
      </c>
      <c r="B408" t="s">
        <v>130</v>
      </c>
      <c r="C408">
        <v>1000004573</v>
      </c>
      <c r="D408" t="s">
        <v>133</v>
      </c>
      <c r="E408" t="s">
        <v>38</v>
      </c>
      <c r="F408">
        <v>2026</v>
      </c>
      <c r="G408">
        <v>7</v>
      </c>
      <c r="H408">
        <v>0</v>
      </c>
      <c r="I408" t="s">
        <v>39</v>
      </c>
      <c r="J408" t="s">
        <v>47</v>
      </c>
      <c r="L408" t="s">
        <v>64</v>
      </c>
      <c r="M408" t="s">
        <v>42</v>
      </c>
      <c r="O408" t="s">
        <v>48</v>
      </c>
      <c r="P408" t="s">
        <v>49</v>
      </c>
      <c r="Q408" t="s">
        <v>45</v>
      </c>
      <c r="R408">
        <v>3.91</v>
      </c>
      <c r="S408">
        <v>440</v>
      </c>
      <c r="T408">
        <v>1720.4</v>
      </c>
      <c r="U408">
        <v>46268.655147939811</v>
      </c>
      <c r="V408" t="s">
        <v>66</v>
      </c>
    </row>
    <row r="409" spans="1:22" x14ac:dyDescent="0.2">
      <c r="A409">
        <v>1000004011</v>
      </c>
      <c r="B409" t="s">
        <v>130</v>
      </c>
      <c r="C409">
        <v>1000004573</v>
      </c>
      <c r="D409" t="s">
        <v>133</v>
      </c>
      <c r="E409" t="s">
        <v>38</v>
      </c>
      <c r="F409">
        <v>2026</v>
      </c>
      <c r="G409">
        <v>7</v>
      </c>
      <c r="H409">
        <v>0</v>
      </c>
      <c r="I409" t="s">
        <v>39</v>
      </c>
      <c r="J409" t="s">
        <v>47</v>
      </c>
      <c r="L409" t="s">
        <v>54</v>
      </c>
      <c r="M409" t="s">
        <v>42</v>
      </c>
      <c r="O409" t="s">
        <v>48</v>
      </c>
      <c r="P409" t="s">
        <v>55</v>
      </c>
      <c r="Q409" t="s">
        <v>45</v>
      </c>
      <c r="R409">
        <v>0.45</v>
      </c>
      <c r="S409">
        <v>3607</v>
      </c>
      <c r="T409">
        <v>1623.15</v>
      </c>
      <c r="U409">
        <v>46268.655147939811</v>
      </c>
      <c r="V409" t="s">
        <v>66</v>
      </c>
    </row>
    <row r="410" spans="1:22" x14ac:dyDescent="0.2">
      <c r="A410">
        <v>1000004011</v>
      </c>
      <c r="B410" t="s">
        <v>130</v>
      </c>
      <c r="C410">
        <v>1000004573</v>
      </c>
      <c r="D410" t="s">
        <v>133</v>
      </c>
      <c r="E410" t="s">
        <v>38</v>
      </c>
      <c r="F410">
        <v>2026</v>
      </c>
      <c r="G410">
        <v>7</v>
      </c>
      <c r="H410">
        <v>0</v>
      </c>
      <c r="I410" t="s">
        <v>39</v>
      </c>
      <c r="J410" t="s">
        <v>40</v>
      </c>
      <c r="L410" t="s">
        <v>64</v>
      </c>
      <c r="M410" t="s">
        <v>56</v>
      </c>
      <c r="O410" t="s">
        <v>67</v>
      </c>
      <c r="P410" t="s">
        <v>44</v>
      </c>
      <c r="Q410" t="s">
        <v>45</v>
      </c>
      <c r="R410">
        <v>0.3</v>
      </c>
      <c r="S410">
        <v>247</v>
      </c>
      <c r="T410">
        <v>74.099999999999994</v>
      </c>
      <c r="U410">
        <v>46268.655147939811</v>
      </c>
      <c r="V410" t="s">
        <v>58</v>
      </c>
    </row>
    <row r="411" spans="1:22" x14ac:dyDescent="0.2">
      <c r="A411">
        <v>1000004011</v>
      </c>
      <c r="B411" t="s">
        <v>130</v>
      </c>
      <c r="C411">
        <v>1000004573</v>
      </c>
      <c r="D411" t="s">
        <v>133</v>
      </c>
      <c r="E411" t="s">
        <v>38</v>
      </c>
      <c r="F411">
        <v>2026</v>
      </c>
      <c r="G411">
        <v>7</v>
      </c>
      <c r="H411">
        <v>0</v>
      </c>
      <c r="I411" t="s">
        <v>39</v>
      </c>
      <c r="J411" t="s">
        <v>40</v>
      </c>
      <c r="L411" t="s">
        <v>65</v>
      </c>
      <c r="M411" t="s">
        <v>56</v>
      </c>
      <c r="O411" t="s">
        <v>67</v>
      </c>
      <c r="P411" t="s">
        <v>44</v>
      </c>
      <c r="Q411" t="s">
        <v>45</v>
      </c>
      <c r="R411">
        <v>2.63</v>
      </c>
      <c r="S411">
        <v>699</v>
      </c>
      <c r="T411">
        <v>1838.37</v>
      </c>
      <c r="U411">
        <v>46268.655147939811</v>
      </c>
      <c r="V411" t="s">
        <v>68</v>
      </c>
    </row>
    <row r="412" spans="1:22" x14ac:dyDescent="0.2">
      <c r="A412">
        <v>1000004011</v>
      </c>
      <c r="B412" t="s">
        <v>130</v>
      </c>
      <c r="C412">
        <v>1000004573</v>
      </c>
      <c r="D412" t="s">
        <v>133</v>
      </c>
      <c r="E412" t="s">
        <v>38</v>
      </c>
      <c r="F412">
        <v>2026</v>
      </c>
      <c r="G412">
        <v>7</v>
      </c>
      <c r="H412">
        <v>0</v>
      </c>
      <c r="I412" t="s">
        <v>39</v>
      </c>
      <c r="J412" t="s">
        <v>47</v>
      </c>
      <c r="L412" t="s">
        <v>41</v>
      </c>
      <c r="M412" t="s">
        <v>56</v>
      </c>
      <c r="O412" t="s">
        <v>57</v>
      </c>
      <c r="P412" t="s">
        <v>44</v>
      </c>
      <c r="Q412" t="s">
        <v>45</v>
      </c>
      <c r="R412">
        <v>0.125</v>
      </c>
      <c r="S412">
        <v>1507</v>
      </c>
      <c r="T412">
        <v>188.37</v>
      </c>
      <c r="U412">
        <v>46268.655147939811</v>
      </c>
      <c r="V412" t="s">
        <v>58</v>
      </c>
    </row>
    <row r="413" spans="1:22" x14ac:dyDescent="0.2">
      <c r="A413">
        <v>1000004011</v>
      </c>
      <c r="B413" t="s">
        <v>130</v>
      </c>
      <c r="C413">
        <v>1000004573</v>
      </c>
      <c r="D413" t="s">
        <v>133</v>
      </c>
      <c r="E413" t="s">
        <v>38</v>
      </c>
      <c r="F413">
        <v>2026</v>
      </c>
      <c r="G413">
        <v>7</v>
      </c>
      <c r="H413">
        <v>0</v>
      </c>
      <c r="I413" t="s">
        <v>39</v>
      </c>
      <c r="J413" t="s">
        <v>47</v>
      </c>
      <c r="L413" t="s">
        <v>64</v>
      </c>
      <c r="M413" t="s">
        <v>56</v>
      </c>
      <c r="O413" t="s">
        <v>57</v>
      </c>
      <c r="P413" t="s">
        <v>44</v>
      </c>
      <c r="Q413" t="s">
        <v>45</v>
      </c>
      <c r="R413">
        <v>0.52500000000000002</v>
      </c>
      <c r="S413">
        <v>440</v>
      </c>
      <c r="T413">
        <v>231</v>
      </c>
      <c r="U413">
        <v>46268.655147939811</v>
      </c>
      <c r="V413" t="s">
        <v>58</v>
      </c>
    </row>
    <row r="414" spans="1:22" x14ac:dyDescent="0.2">
      <c r="A414">
        <v>1000004011</v>
      </c>
      <c r="B414" t="s">
        <v>130</v>
      </c>
      <c r="C414">
        <v>1000004573</v>
      </c>
      <c r="D414" t="s">
        <v>133</v>
      </c>
      <c r="E414" t="s">
        <v>38</v>
      </c>
      <c r="F414">
        <v>2026</v>
      </c>
      <c r="G414">
        <v>7</v>
      </c>
      <c r="H414">
        <v>0</v>
      </c>
      <c r="I414" t="s">
        <v>39</v>
      </c>
      <c r="J414" t="s">
        <v>47</v>
      </c>
      <c r="L414" t="s">
        <v>65</v>
      </c>
      <c r="M414" t="s">
        <v>56</v>
      </c>
      <c r="O414" t="s">
        <v>57</v>
      </c>
      <c r="P414" t="s">
        <v>44</v>
      </c>
      <c r="Q414" t="s">
        <v>45</v>
      </c>
      <c r="R414">
        <v>4.4349999999999996</v>
      </c>
      <c r="S414">
        <v>1660</v>
      </c>
      <c r="T414">
        <v>7362.1</v>
      </c>
      <c r="U414">
        <v>46268.655147939811</v>
      </c>
      <c r="V414" t="s">
        <v>58</v>
      </c>
    </row>
    <row r="415" spans="1:22" x14ac:dyDescent="0.2">
      <c r="A415">
        <v>1000004046</v>
      </c>
      <c r="B415" t="s">
        <v>134</v>
      </c>
      <c r="C415">
        <v>1000005496</v>
      </c>
      <c r="D415" t="s">
        <v>135</v>
      </c>
      <c r="E415" t="s">
        <v>38</v>
      </c>
      <c r="F415">
        <v>2026</v>
      </c>
      <c r="G415">
        <v>7</v>
      </c>
      <c r="H415">
        <v>0</v>
      </c>
      <c r="I415" t="s">
        <v>39</v>
      </c>
      <c r="J415" t="s">
        <v>40</v>
      </c>
      <c r="L415" t="s">
        <v>41</v>
      </c>
      <c r="M415" t="s">
        <v>42</v>
      </c>
      <c r="O415" t="s">
        <v>43</v>
      </c>
      <c r="P415" t="s">
        <v>44</v>
      </c>
      <c r="Q415" t="s">
        <v>45</v>
      </c>
      <c r="R415">
        <v>2.54</v>
      </c>
      <c r="S415">
        <v>1140</v>
      </c>
      <c r="T415">
        <v>2895.6</v>
      </c>
      <c r="U415">
        <v>46268.655147939811</v>
      </c>
      <c r="V415" t="s">
        <v>72</v>
      </c>
    </row>
    <row r="416" spans="1:22" x14ac:dyDescent="0.2">
      <c r="A416">
        <v>1000004046</v>
      </c>
      <c r="B416" t="s">
        <v>134</v>
      </c>
      <c r="C416">
        <v>1000005496</v>
      </c>
      <c r="D416" t="s">
        <v>135</v>
      </c>
      <c r="E416" t="s">
        <v>38</v>
      </c>
      <c r="F416">
        <v>2026</v>
      </c>
      <c r="G416">
        <v>7</v>
      </c>
      <c r="H416">
        <v>0</v>
      </c>
      <c r="I416" t="s">
        <v>39</v>
      </c>
      <c r="J416" t="s">
        <v>40</v>
      </c>
      <c r="L416" t="s">
        <v>64</v>
      </c>
      <c r="M416" t="s">
        <v>42</v>
      </c>
      <c r="O416" t="s">
        <v>43</v>
      </c>
      <c r="P416" t="s">
        <v>44</v>
      </c>
      <c r="Q416" t="s">
        <v>45</v>
      </c>
      <c r="R416">
        <v>2.2400000000000002</v>
      </c>
      <c r="S416">
        <v>431</v>
      </c>
      <c r="T416">
        <v>965.44</v>
      </c>
      <c r="U416">
        <v>46268.655147939811</v>
      </c>
      <c r="V416" t="s">
        <v>72</v>
      </c>
    </row>
    <row r="417" spans="1:22" x14ac:dyDescent="0.2">
      <c r="A417">
        <v>1000004046</v>
      </c>
      <c r="B417" t="s">
        <v>134</v>
      </c>
      <c r="C417">
        <v>1000005496</v>
      </c>
      <c r="D417" t="s">
        <v>135</v>
      </c>
      <c r="E417" t="s">
        <v>38</v>
      </c>
      <c r="F417">
        <v>2026</v>
      </c>
      <c r="G417">
        <v>7</v>
      </c>
      <c r="H417">
        <v>0</v>
      </c>
      <c r="I417" t="s">
        <v>39</v>
      </c>
      <c r="J417" t="s">
        <v>40</v>
      </c>
      <c r="L417" t="s">
        <v>65</v>
      </c>
      <c r="M417" t="s">
        <v>42</v>
      </c>
      <c r="O417" t="s">
        <v>43</v>
      </c>
      <c r="P417" t="s">
        <v>44</v>
      </c>
      <c r="Q417" t="s">
        <v>45</v>
      </c>
      <c r="R417">
        <v>0.42</v>
      </c>
      <c r="S417">
        <v>2180</v>
      </c>
      <c r="T417">
        <v>915.6</v>
      </c>
      <c r="U417">
        <v>46268.655147939811</v>
      </c>
      <c r="V417" t="s">
        <v>72</v>
      </c>
    </row>
    <row r="418" spans="1:22" x14ac:dyDescent="0.2">
      <c r="A418">
        <v>1000004046</v>
      </c>
      <c r="B418" t="s">
        <v>134</v>
      </c>
      <c r="C418">
        <v>1000005496</v>
      </c>
      <c r="D418" t="s">
        <v>135</v>
      </c>
      <c r="E418" t="s">
        <v>38</v>
      </c>
      <c r="F418">
        <v>2026</v>
      </c>
      <c r="G418">
        <v>7</v>
      </c>
      <c r="H418">
        <v>0</v>
      </c>
      <c r="I418" t="s">
        <v>39</v>
      </c>
      <c r="J418" t="s">
        <v>47</v>
      </c>
      <c r="L418" t="s">
        <v>41</v>
      </c>
      <c r="M418" t="s">
        <v>42</v>
      </c>
      <c r="O418" t="s">
        <v>48</v>
      </c>
      <c r="P418" t="s">
        <v>49</v>
      </c>
      <c r="Q418" t="s">
        <v>45</v>
      </c>
      <c r="R418">
        <v>4.3099999999999996</v>
      </c>
      <c r="S418">
        <v>1021</v>
      </c>
      <c r="T418">
        <v>4400.51</v>
      </c>
      <c r="U418">
        <v>46268.655147939811</v>
      </c>
      <c r="V418" t="s">
        <v>66</v>
      </c>
    </row>
    <row r="419" spans="1:22" x14ac:dyDescent="0.2">
      <c r="A419">
        <v>1000004046</v>
      </c>
      <c r="B419" t="s">
        <v>134</v>
      </c>
      <c r="C419">
        <v>1000005496</v>
      </c>
      <c r="D419" t="s">
        <v>135</v>
      </c>
      <c r="E419" t="s">
        <v>38</v>
      </c>
      <c r="F419">
        <v>2026</v>
      </c>
      <c r="G419">
        <v>7</v>
      </c>
      <c r="H419">
        <v>0</v>
      </c>
      <c r="I419" t="s">
        <v>39</v>
      </c>
      <c r="J419" t="s">
        <v>47</v>
      </c>
      <c r="L419" t="s">
        <v>51</v>
      </c>
      <c r="M419" t="s">
        <v>42</v>
      </c>
      <c r="O419" t="s">
        <v>48</v>
      </c>
      <c r="P419" t="s">
        <v>52</v>
      </c>
      <c r="Q419" t="s">
        <v>45</v>
      </c>
      <c r="R419">
        <v>0.09</v>
      </c>
      <c r="S419">
        <v>3512</v>
      </c>
      <c r="T419">
        <v>316.08</v>
      </c>
      <c r="U419">
        <v>46268.655147939811</v>
      </c>
      <c r="V419" t="s">
        <v>53</v>
      </c>
    </row>
    <row r="420" spans="1:22" x14ac:dyDescent="0.2">
      <c r="A420">
        <v>1000004046</v>
      </c>
      <c r="B420" t="s">
        <v>134</v>
      </c>
      <c r="C420">
        <v>1000005496</v>
      </c>
      <c r="D420" t="s">
        <v>135</v>
      </c>
      <c r="E420" t="s">
        <v>38</v>
      </c>
      <c r="F420">
        <v>2026</v>
      </c>
      <c r="G420">
        <v>7</v>
      </c>
      <c r="H420">
        <v>0</v>
      </c>
      <c r="I420" t="s">
        <v>39</v>
      </c>
      <c r="J420" t="s">
        <v>47</v>
      </c>
      <c r="L420" t="s">
        <v>64</v>
      </c>
      <c r="M420" t="s">
        <v>42</v>
      </c>
      <c r="O420" t="s">
        <v>48</v>
      </c>
      <c r="P420" t="s">
        <v>49</v>
      </c>
      <c r="Q420" t="s">
        <v>45</v>
      </c>
      <c r="R420">
        <v>3.91</v>
      </c>
      <c r="S420">
        <v>398</v>
      </c>
      <c r="T420">
        <v>1556.18</v>
      </c>
      <c r="U420">
        <v>46268.655147939811</v>
      </c>
      <c r="V420" t="s">
        <v>66</v>
      </c>
    </row>
    <row r="421" spans="1:22" x14ac:dyDescent="0.2">
      <c r="A421">
        <v>1000004046</v>
      </c>
      <c r="B421" t="s">
        <v>134</v>
      </c>
      <c r="C421">
        <v>1000005496</v>
      </c>
      <c r="D421" t="s">
        <v>135</v>
      </c>
      <c r="E421" t="s">
        <v>38</v>
      </c>
      <c r="F421">
        <v>2026</v>
      </c>
      <c r="G421">
        <v>7</v>
      </c>
      <c r="H421">
        <v>0</v>
      </c>
      <c r="I421" t="s">
        <v>39</v>
      </c>
      <c r="J421" t="s">
        <v>47</v>
      </c>
      <c r="L421" t="s">
        <v>54</v>
      </c>
      <c r="M421" t="s">
        <v>42</v>
      </c>
      <c r="O421" t="s">
        <v>48</v>
      </c>
      <c r="P421" t="s">
        <v>55</v>
      </c>
      <c r="Q421" t="s">
        <v>45</v>
      </c>
      <c r="R421">
        <v>0.45</v>
      </c>
      <c r="S421">
        <v>3512</v>
      </c>
      <c r="T421">
        <v>1580.4</v>
      </c>
      <c r="U421">
        <v>46268.655147939811</v>
      </c>
      <c r="V421" t="s">
        <v>66</v>
      </c>
    </row>
    <row r="422" spans="1:22" x14ac:dyDescent="0.2">
      <c r="A422">
        <v>1000004046</v>
      </c>
      <c r="B422" t="s">
        <v>134</v>
      </c>
      <c r="C422">
        <v>1000005496</v>
      </c>
      <c r="D422" t="s">
        <v>135</v>
      </c>
      <c r="E422" t="s">
        <v>38</v>
      </c>
      <c r="F422">
        <v>2026</v>
      </c>
      <c r="G422">
        <v>7</v>
      </c>
      <c r="H422">
        <v>0</v>
      </c>
      <c r="I422" t="s">
        <v>39</v>
      </c>
      <c r="J422" t="s">
        <v>40</v>
      </c>
      <c r="L422" t="s">
        <v>64</v>
      </c>
      <c r="M422" t="s">
        <v>56</v>
      </c>
      <c r="O422" t="s">
        <v>67</v>
      </c>
      <c r="P422" t="s">
        <v>44</v>
      </c>
      <c r="Q422" t="s">
        <v>45</v>
      </c>
      <c r="R422">
        <v>0.3</v>
      </c>
      <c r="S422">
        <v>431</v>
      </c>
      <c r="T422">
        <v>129.30000000000001</v>
      </c>
      <c r="U422">
        <v>46268.655147939811</v>
      </c>
      <c r="V422" t="s">
        <v>58</v>
      </c>
    </row>
    <row r="423" spans="1:22" x14ac:dyDescent="0.2">
      <c r="A423">
        <v>1000004046</v>
      </c>
      <c r="B423" t="s">
        <v>134</v>
      </c>
      <c r="C423">
        <v>1000005496</v>
      </c>
      <c r="D423" t="s">
        <v>135</v>
      </c>
      <c r="E423" t="s">
        <v>38</v>
      </c>
      <c r="F423">
        <v>2026</v>
      </c>
      <c r="G423">
        <v>7</v>
      </c>
      <c r="H423">
        <v>0</v>
      </c>
      <c r="I423" t="s">
        <v>39</v>
      </c>
      <c r="J423" t="s">
        <v>40</v>
      </c>
      <c r="L423" t="s">
        <v>65</v>
      </c>
      <c r="M423" t="s">
        <v>56</v>
      </c>
      <c r="O423" t="s">
        <v>67</v>
      </c>
      <c r="P423" t="s">
        <v>44</v>
      </c>
      <c r="Q423" t="s">
        <v>45</v>
      </c>
      <c r="R423">
        <v>2.12</v>
      </c>
      <c r="S423">
        <v>2180</v>
      </c>
      <c r="T423">
        <v>4621.6000000000004</v>
      </c>
      <c r="U423">
        <v>46268.655147939811</v>
      </c>
      <c r="V423" t="s">
        <v>73</v>
      </c>
    </row>
    <row r="424" spans="1:22" x14ac:dyDescent="0.2">
      <c r="A424">
        <v>1000004046</v>
      </c>
      <c r="B424" t="s">
        <v>134</v>
      </c>
      <c r="C424">
        <v>1000005496</v>
      </c>
      <c r="D424" t="s">
        <v>135</v>
      </c>
      <c r="E424" t="s">
        <v>38</v>
      </c>
      <c r="F424">
        <v>2026</v>
      </c>
      <c r="G424">
        <v>7</v>
      </c>
      <c r="H424">
        <v>0</v>
      </c>
      <c r="I424" t="s">
        <v>39</v>
      </c>
      <c r="J424" t="s">
        <v>47</v>
      </c>
      <c r="L424" t="s">
        <v>41</v>
      </c>
      <c r="M424" t="s">
        <v>56</v>
      </c>
      <c r="O424" t="s">
        <v>57</v>
      </c>
      <c r="P424" t="s">
        <v>44</v>
      </c>
      <c r="Q424" t="s">
        <v>45</v>
      </c>
      <c r="R424">
        <v>0.125</v>
      </c>
      <c r="S424">
        <v>1021</v>
      </c>
      <c r="T424">
        <v>127.62</v>
      </c>
      <c r="U424">
        <v>46268.655147939811</v>
      </c>
      <c r="V424" t="s">
        <v>58</v>
      </c>
    </row>
    <row r="425" spans="1:22" x14ac:dyDescent="0.2">
      <c r="A425">
        <v>1000004046</v>
      </c>
      <c r="B425" t="s">
        <v>134</v>
      </c>
      <c r="C425">
        <v>1000005496</v>
      </c>
      <c r="D425" t="s">
        <v>135</v>
      </c>
      <c r="E425" t="s">
        <v>38</v>
      </c>
      <c r="F425">
        <v>2026</v>
      </c>
      <c r="G425">
        <v>7</v>
      </c>
      <c r="H425">
        <v>0</v>
      </c>
      <c r="I425" t="s">
        <v>39</v>
      </c>
      <c r="J425" t="s">
        <v>47</v>
      </c>
      <c r="L425" t="s">
        <v>64</v>
      </c>
      <c r="M425" t="s">
        <v>56</v>
      </c>
      <c r="O425" t="s">
        <v>57</v>
      </c>
      <c r="P425" t="s">
        <v>44</v>
      </c>
      <c r="Q425" t="s">
        <v>45</v>
      </c>
      <c r="R425">
        <v>0.52500000000000002</v>
      </c>
      <c r="S425">
        <v>398</v>
      </c>
      <c r="T425">
        <v>208.95</v>
      </c>
      <c r="U425">
        <v>46268.655147939811</v>
      </c>
      <c r="V425" t="s">
        <v>58</v>
      </c>
    </row>
    <row r="426" spans="1:22" x14ac:dyDescent="0.2">
      <c r="A426">
        <v>1000004046</v>
      </c>
      <c r="B426" t="s">
        <v>134</v>
      </c>
      <c r="C426">
        <v>1000005496</v>
      </c>
      <c r="D426" t="s">
        <v>135</v>
      </c>
      <c r="E426" t="s">
        <v>38</v>
      </c>
      <c r="F426">
        <v>2026</v>
      </c>
      <c r="G426">
        <v>7</v>
      </c>
      <c r="H426">
        <v>0</v>
      </c>
      <c r="I426" t="s">
        <v>39</v>
      </c>
      <c r="J426" t="s">
        <v>47</v>
      </c>
      <c r="L426" t="s">
        <v>65</v>
      </c>
      <c r="M426" t="s">
        <v>56</v>
      </c>
      <c r="O426" t="s">
        <v>57</v>
      </c>
      <c r="P426" t="s">
        <v>44</v>
      </c>
      <c r="Q426" t="s">
        <v>45</v>
      </c>
      <c r="R426">
        <v>4.4349999999999996</v>
      </c>
      <c r="S426">
        <v>2093</v>
      </c>
      <c r="T426">
        <v>9282.4500000000007</v>
      </c>
      <c r="U426">
        <v>46268.655147939811</v>
      </c>
      <c r="V426" t="s">
        <v>58</v>
      </c>
    </row>
    <row r="427" spans="1:22" x14ac:dyDescent="0.2">
      <c r="A427">
        <v>1000004046</v>
      </c>
      <c r="B427" t="s">
        <v>134</v>
      </c>
      <c r="C427">
        <v>1000002396</v>
      </c>
      <c r="D427" t="s">
        <v>136</v>
      </c>
      <c r="E427" t="s">
        <v>38</v>
      </c>
      <c r="F427">
        <v>2026</v>
      </c>
      <c r="G427">
        <v>7</v>
      </c>
      <c r="H427">
        <v>0</v>
      </c>
      <c r="I427" t="s">
        <v>39</v>
      </c>
      <c r="J427" t="s">
        <v>40</v>
      </c>
      <c r="L427" t="s">
        <v>41</v>
      </c>
      <c r="M427" t="s">
        <v>42</v>
      </c>
      <c r="O427" t="s">
        <v>43</v>
      </c>
      <c r="P427" t="s">
        <v>44</v>
      </c>
      <c r="Q427" t="s">
        <v>45</v>
      </c>
      <c r="R427">
        <v>2.54</v>
      </c>
      <c r="S427">
        <v>442</v>
      </c>
      <c r="T427">
        <v>1122.68</v>
      </c>
      <c r="U427">
        <v>46268.655147939811</v>
      </c>
      <c r="V427" t="s">
        <v>72</v>
      </c>
    </row>
    <row r="428" spans="1:22" x14ac:dyDescent="0.2">
      <c r="A428">
        <v>1000004046</v>
      </c>
      <c r="B428" t="s">
        <v>134</v>
      </c>
      <c r="C428">
        <v>1000002396</v>
      </c>
      <c r="D428" t="s">
        <v>136</v>
      </c>
      <c r="E428" t="s">
        <v>38</v>
      </c>
      <c r="F428">
        <v>2026</v>
      </c>
      <c r="G428">
        <v>7</v>
      </c>
      <c r="H428">
        <v>0</v>
      </c>
      <c r="I428" t="s">
        <v>39</v>
      </c>
      <c r="J428" t="s">
        <v>40</v>
      </c>
      <c r="L428" t="s">
        <v>64</v>
      </c>
      <c r="M428" t="s">
        <v>42</v>
      </c>
      <c r="O428" t="s">
        <v>43</v>
      </c>
      <c r="P428" t="s">
        <v>44</v>
      </c>
      <c r="Q428" t="s">
        <v>45</v>
      </c>
      <c r="R428">
        <v>2.2400000000000002</v>
      </c>
      <c r="S428">
        <v>140</v>
      </c>
      <c r="T428">
        <v>313.60000000000002</v>
      </c>
      <c r="U428">
        <v>46268.655147939811</v>
      </c>
      <c r="V428" t="s">
        <v>72</v>
      </c>
    </row>
    <row r="429" spans="1:22" x14ac:dyDescent="0.2">
      <c r="A429">
        <v>1000004046</v>
      </c>
      <c r="B429" t="s">
        <v>134</v>
      </c>
      <c r="C429">
        <v>1000002396</v>
      </c>
      <c r="D429" t="s">
        <v>136</v>
      </c>
      <c r="E429" t="s">
        <v>38</v>
      </c>
      <c r="F429">
        <v>2026</v>
      </c>
      <c r="G429">
        <v>7</v>
      </c>
      <c r="H429">
        <v>0</v>
      </c>
      <c r="I429" t="s">
        <v>39</v>
      </c>
      <c r="J429" t="s">
        <v>40</v>
      </c>
      <c r="L429" t="s">
        <v>65</v>
      </c>
      <c r="M429" t="s">
        <v>42</v>
      </c>
      <c r="O429" t="s">
        <v>43</v>
      </c>
      <c r="P429" t="s">
        <v>44</v>
      </c>
      <c r="Q429" t="s">
        <v>45</v>
      </c>
      <c r="R429">
        <v>0.42</v>
      </c>
      <c r="S429">
        <v>779</v>
      </c>
      <c r="T429">
        <v>327.18</v>
      </c>
      <c r="U429">
        <v>46268.655147939811</v>
      </c>
      <c r="V429" t="s">
        <v>72</v>
      </c>
    </row>
    <row r="430" spans="1:22" x14ac:dyDescent="0.2">
      <c r="A430">
        <v>1000004046</v>
      </c>
      <c r="B430" t="s">
        <v>134</v>
      </c>
      <c r="C430">
        <v>1000002396</v>
      </c>
      <c r="D430" t="s">
        <v>136</v>
      </c>
      <c r="E430" t="s">
        <v>38</v>
      </c>
      <c r="F430">
        <v>2026</v>
      </c>
      <c r="G430">
        <v>7</v>
      </c>
      <c r="H430">
        <v>0</v>
      </c>
      <c r="I430" t="s">
        <v>39</v>
      </c>
      <c r="J430" t="s">
        <v>47</v>
      </c>
      <c r="L430" t="s">
        <v>41</v>
      </c>
      <c r="M430" t="s">
        <v>42</v>
      </c>
      <c r="O430" t="s">
        <v>48</v>
      </c>
      <c r="P430" t="s">
        <v>49</v>
      </c>
      <c r="Q430" t="s">
        <v>45</v>
      </c>
      <c r="R430">
        <v>4.3099999999999996</v>
      </c>
      <c r="S430">
        <v>632</v>
      </c>
      <c r="T430">
        <v>2723.92</v>
      </c>
      <c r="U430">
        <v>46268.655147939811</v>
      </c>
      <c r="V430" t="s">
        <v>66</v>
      </c>
    </row>
    <row r="431" spans="1:22" x14ac:dyDescent="0.2">
      <c r="A431">
        <v>1000004046</v>
      </c>
      <c r="B431" t="s">
        <v>134</v>
      </c>
      <c r="C431">
        <v>1000002396</v>
      </c>
      <c r="D431" t="s">
        <v>136</v>
      </c>
      <c r="E431" t="s">
        <v>38</v>
      </c>
      <c r="F431">
        <v>2026</v>
      </c>
      <c r="G431">
        <v>7</v>
      </c>
      <c r="H431">
        <v>0</v>
      </c>
      <c r="I431" t="s">
        <v>39</v>
      </c>
      <c r="J431" t="s">
        <v>47</v>
      </c>
      <c r="L431" t="s">
        <v>51</v>
      </c>
      <c r="M431" t="s">
        <v>42</v>
      </c>
      <c r="O431" t="s">
        <v>48</v>
      </c>
      <c r="P431" t="s">
        <v>52</v>
      </c>
      <c r="Q431" t="s">
        <v>45</v>
      </c>
      <c r="R431">
        <v>0.09</v>
      </c>
      <c r="S431">
        <v>2400</v>
      </c>
      <c r="T431">
        <v>216</v>
      </c>
      <c r="U431">
        <v>46268.655147939811</v>
      </c>
      <c r="V431" t="s">
        <v>53</v>
      </c>
    </row>
    <row r="432" spans="1:22" x14ac:dyDescent="0.2">
      <c r="A432">
        <v>1000004046</v>
      </c>
      <c r="B432" t="s">
        <v>134</v>
      </c>
      <c r="C432">
        <v>1000002396</v>
      </c>
      <c r="D432" t="s">
        <v>136</v>
      </c>
      <c r="E432" t="s">
        <v>38</v>
      </c>
      <c r="F432">
        <v>2026</v>
      </c>
      <c r="G432">
        <v>7</v>
      </c>
      <c r="H432">
        <v>0</v>
      </c>
      <c r="I432" t="s">
        <v>39</v>
      </c>
      <c r="J432" t="s">
        <v>47</v>
      </c>
      <c r="L432" t="s">
        <v>64</v>
      </c>
      <c r="M432" t="s">
        <v>42</v>
      </c>
      <c r="O432" t="s">
        <v>48</v>
      </c>
      <c r="P432" t="s">
        <v>49</v>
      </c>
      <c r="Q432" t="s">
        <v>45</v>
      </c>
      <c r="R432">
        <v>3.91</v>
      </c>
      <c r="S432">
        <v>274</v>
      </c>
      <c r="T432">
        <v>1071.3399999999999</v>
      </c>
      <c r="U432">
        <v>46268.655147939811</v>
      </c>
      <c r="V432" t="s">
        <v>66</v>
      </c>
    </row>
    <row r="433" spans="1:22" x14ac:dyDescent="0.2">
      <c r="A433">
        <v>1000004046</v>
      </c>
      <c r="B433" t="s">
        <v>134</v>
      </c>
      <c r="C433">
        <v>1000002396</v>
      </c>
      <c r="D433" t="s">
        <v>136</v>
      </c>
      <c r="E433" t="s">
        <v>38</v>
      </c>
      <c r="F433">
        <v>2026</v>
      </c>
      <c r="G433">
        <v>7</v>
      </c>
      <c r="H433">
        <v>0</v>
      </c>
      <c r="I433" t="s">
        <v>39</v>
      </c>
      <c r="J433" t="s">
        <v>47</v>
      </c>
      <c r="L433" t="s">
        <v>54</v>
      </c>
      <c r="M433" t="s">
        <v>42</v>
      </c>
      <c r="O433" t="s">
        <v>48</v>
      </c>
      <c r="P433" t="s">
        <v>55</v>
      </c>
      <c r="Q433" t="s">
        <v>45</v>
      </c>
      <c r="R433">
        <v>0.45</v>
      </c>
      <c r="S433">
        <v>2400</v>
      </c>
      <c r="T433">
        <v>1080</v>
      </c>
      <c r="U433">
        <v>46268.655147939811</v>
      </c>
      <c r="V433" t="s">
        <v>66</v>
      </c>
    </row>
    <row r="434" spans="1:22" x14ac:dyDescent="0.2">
      <c r="A434">
        <v>1000004046</v>
      </c>
      <c r="B434" t="s">
        <v>134</v>
      </c>
      <c r="C434">
        <v>1000002396</v>
      </c>
      <c r="D434" t="s">
        <v>136</v>
      </c>
      <c r="E434" t="s">
        <v>38</v>
      </c>
      <c r="F434">
        <v>2026</v>
      </c>
      <c r="G434">
        <v>7</v>
      </c>
      <c r="H434">
        <v>0</v>
      </c>
      <c r="I434" t="s">
        <v>39</v>
      </c>
      <c r="J434" t="s">
        <v>40</v>
      </c>
      <c r="L434" t="s">
        <v>64</v>
      </c>
      <c r="M434" t="s">
        <v>56</v>
      </c>
      <c r="O434" t="s">
        <v>67</v>
      </c>
      <c r="P434" t="s">
        <v>44</v>
      </c>
      <c r="Q434" t="s">
        <v>45</v>
      </c>
      <c r="R434">
        <v>0.3</v>
      </c>
      <c r="S434">
        <v>140</v>
      </c>
      <c r="T434">
        <v>42</v>
      </c>
      <c r="U434">
        <v>46268.655147939811</v>
      </c>
      <c r="V434" t="s">
        <v>58</v>
      </c>
    </row>
    <row r="435" spans="1:22" x14ac:dyDescent="0.2">
      <c r="A435">
        <v>1000004046</v>
      </c>
      <c r="B435" t="s">
        <v>134</v>
      </c>
      <c r="C435">
        <v>1000002396</v>
      </c>
      <c r="D435" t="s">
        <v>136</v>
      </c>
      <c r="E435" t="s">
        <v>38</v>
      </c>
      <c r="F435">
        <v>2026</v>
      </c>
      <c r="G435">
        <v>7</v>
      </c>
      <c r="H435">
        <v>0</v>
      </c>
      <c r="I435" t="s">
        <v>39</v>
      </c>
      <c r="J435" t="s">
        <v>40</v>
      </c>
      <c r="L435" t="s">
        <v>65</v>
      </c>
      <c r="M435" t="s">
        <v>56</v>
      </c>
      <c r="O435" t="s">
        <v>67</v>
      </c>
      <c r="P435" t="s">
        <v>44</v>
      </c>
      <c r="Q435" t="s">
        <v>45</v>
      </c>
      <c r="R435">
        <v>2.12</v>
      </c>
      <c r="S435">
        <v>779</v>
      </c>
      <c r="T435">
        <v>1651.48</v>
      </c>
      <c r="U435">
        <v>46268.655147939811</v>
      </c>
      <c r="V435" t="s">
        <v>73</v>
      </c>
    </row>
    <row r="436" spans="1:22" x14ac:dyDescent="0.2">
      <c r="A436">
        <v>1000004046</v>
      </c>
      <c r="B436" t="s">
        <v>134</v>
      </c>
      <c r="C436">
        <v>1000002396</v>
      </c>
      <c r="D436" t="s">
        <v>136</v>
      </c>
      <c r="E436" t="s">
        <v>38</v>
      </c>
      <c r="F436">
        <v>2026</v>
      </c>
      <c r="G436">
        <v>7</v>
      </c>
      <c r="H436">
        <v>0</v>
      </c>
      <c r="I436" t="s">
        <v>39</v>
      </c>
      <c r="J436" t="s">
        <v>47</v>
      </c>
      <c r="L436" t="s">
        <v>41</v>
      </c>
      <c r="M436" t="s">
        <v>56</v>
      </c>
      <c r="O436" t="s">
        <v>57</v>
      </c>
      <c r="P436" t="s">
        <v>44</v>
      </c>
      <c r="Q436" t="s">
        <v>45</v>
      </c>
      <c r="R436">
        <v>0.125</v>
      </c>
      <c r="S436">
        <v>632</v>
      </c>
      <c r="T436">
        <v>79</v>
      </c>
      <c r="U436">
        <v>46268.655147939811</v>
      </c>
      <c r="V436" t="s">
        <v>58</v>
      </c>
    </row>
    <row r="437" spans="1:22" x14ac:dyDescent="0.2">
      <c r="A437">
        <v>1000004046</v>
      </c>
      <c r="B437" t="s">
        <v>134</v>
      </c>
      <c r="C437">
        <v>1000002396</v>
      </c>
      <c r="D437" t="s">
        <v>136</v>
      </c>
      <c r="E437" t="s">
        <v>38</v>
      </c>
      <c r="F437">
        <v>2026</v>
      </c>
      <c r="G437">
        <v>7</v>
      </c>
      <c r="H437">
        <v>0</v>
      </c>
      <c r="I437" t="s">
        <v>39</v>
      </c>
      <c r="J437" t="s">
        <v>47</v>
      </c>
      <c r="L437" t="s">
        <v>64</v>
      </c>
      <c r="M437" t="s">
        <v>56</v>
      </c>
      <c r="O437" t="s">
        <v>57</v>
      </c>
      <c r="P437" t="s">
        <v>44</v>
      </c>
      <c r="Q437" t="s">
        <v>45</v>
      </c>
      <c r="R437">
        <v>0.52500000000000002</v>
      </c>
      <c r="S437">
        <v>274</v>
      </c>
      <c r="T437">
        <v>143.85</v>
      </c>
      <c r="U437">
        <v>46268.655147939811</v>
      </c>
      <c r="V437" t="s">
        <v>58</v>
      </c>
    </row>
    <row r="438" spans="1:22" x14ac:dyDescent="0.2">
      <c r="A438">
        <v>1000004046</v>
      </c>
      <c r="B438" t="s">
        <v>134</v>
      </c>
      <c r="C438">
        <v>1000002396</v>
      </c>
      <c r="D438" t="s">
        <v>136</v>
      </c>
      <c r="E438" t="s">
        <v>38</v>
      </c>
      <c r="F438">
        <v>2026</v>
      </c>
      <c r="G438">
        <v>7</v>
      </c>
      <c r="H438">
        <v>0</v>
      </c>
      <c r="I438" t="s">
        <v>39</v>
      </c>
      <c r="J438" t="s">
        <v>47</v>
      </c>
      <c r="L438" t="s">
        <v>65</v>
      </c>
      <c r="M438" t="s">
        <v>56</v>
      </c>
      <c r="O438" t="s">
        <v>57</v>
      </c>
      <c r="P438" t="s">
        <v>44</v>
      </c>
      <c r="Q438" t="s">
        <v>45</v>
      </c>
      <c r="R438">
        <v>4.4349999999999996</v>
      </c>
      <c r="S438">
        <v>1494</v>
      </c>
      <c r="T438">
        <v>6625.89</v>
      </c>
      <c r="U438">
        <v>46268.655147939811</v>
      </c>
      <c r="V438" t="s">
        <v>58</v>
      </c>
    </row>
    <row r="439" spans="1:22" x14ac:dyDescent="0.2">
      <c r="A439">
        <v>1000004046</v>
      </c>
      <c r="B439" t="s">
        <v>134</v>
      </c>
      <c r="C439">
        <v>9000010030</v>
      </c>
      <c r="D439" t="s">
        <v>137</v>
      </c>
      <c r="E439" t="s">
        <v>38</v>
      </c>
      <c r="F439">
        <v>2026</v>
      </c>
      <c r="G439">
        <v>7</v>
      </c>
      <c r="H439">
        <v>0</v>
      </c>
      <c r="I439" t="s">
        <v>39</v>
      </c>
      <c r="J439" t="s">
        <v>40</v>
      </c>
      <c r="L439" t="s">
        <v>41</v>
      </c>
      <c r="M439" t="s">
        <v>42</v>
      </c>
      <c r="O439" t="s">
        <v>43</v>
      </c>
      <c r="P439" t="s">
        <v>44</v>
      </c>
      <c r="Q439" t="s">
        <v>45</v>
      </c>
      <c r="R439">
        <v>2.54</v>
      </c>
      <c r="S439">
        <v>252</v>
      </c>
      <c r="T439">
        <v>640.08000000000004</v>
      </c>
      <c r="U439">
        <v>46268.655147939811</v>
      </c>
      <c r="V439" t="s">
        <v>72</v>
      </c>
    </row>
    <row r="440" spans="1:22" x14ac:dyDescent="0.2">
      <c r="A440">
        <v>1000004046</v>
      </c>
      <c r="B440" t="s">
        <v>134</v>
      </c>
      <c r="C440">
        <v>9000010030</v>
      </c>
      <c r="D440" t="s">
        <v>137</v>
      </c>
      <c r="E440" t="s">
        <v>38</v>
      </c>
      <c r="F440">
        <v>2026</v>
      </c>
      <c r="G440">
        <v>7</v>
      </c>
      <c r="H440">
        <v>0</v>
      </c>
      <c r="I440" t="s">
        <v>39</v>
      </c>
      <c r="J440" t="s">
        <v>40</v>
      </c>
      <c r="L440" t="s">
        <v>64</v>
      </c>
      <c r="M440" t="s">
        <v>42</v>
      </c>
      <c r="O440" t="s">
        <v>43</v>
      </c>
      <c r="P440" t="s">
        <v>44</v>
      </c>
      <c r="Q440" t="s">
        <v>45</v>
      </c>
      <c r="R440">
        <v>2.2400000000000002</v>
      </c>
      <c r="S440">
        <v>34</v>
      </c>
      <c r="T440">
        <v>76.16</v>
      </c>
      <c r="U440">
        <v>46268.655147939811</v>
      </c>
      <c r="V440" t="s">
        <v>72</v>
      </c>
    </row>
    <row r="441" spans="1:22" x14ac:dyDescent="0.2">
      <c r="A441">
        <v>1000004046</v>
      </c>
      <c r="B441" t="s">
        <v>134</v>
      </c>
      <c r="C441">
        <v>9000010030</v>
      </c>
      <c r="D441" t="s">
        <v>137</v>
      </c>
      <c r="E441" t="s">
        <v>38</v>
      </c>
      <c r="F441">
        <v>2026</v>
      </c>
      <c r="G441">
        <v>7</v>
      </c>
      <c r="H441">
        <v>0</v>
      </c>
      <c r="I441" t="s">
        <v>39</v>
      </c>
      <c r="J441" t="s">
        <v>40</v>
      </c>
      <c r="L441" t="s">
        <v>65</v>
      </c>
      <c r="M441" t="s">
        <v>42</v>
      </c>
      <c r="O441" t="s">
        <v>43</v>
      </c>
      <c r="P441" t="s">
        <v>44</v>
      </c>
      <c r="Q441" t="s">
        <v>45</v>
      </c>
      <c r="R441">
        <v>0.42</v>
      </c>
      <c r="S441">
        <v>360</v>
      </c>
      <c r="T441">
        <v>151.19999999999999</v>
      </c>
      <c r="U441">
        <v>46268.655147939811</v>
      </c>
      <c r="V441" t="s">
        <v>72</v>
      </c>
    </row>
    <row r="442" spans="1:22" x14ac:dyDescent="0.2">
      <c r="A442">
        <v>1000004046</v>
      </c>
      <c r="B442" t="s">
        <v>134</v>
      </c>
      <c r="C442">
        <v>9000010030</v>
      </c>
      <c r="D442" t="s">
        <v>137</v>
      </c>
      <c r="E442" t="s">
        <v>38</v>
      </c>
      <c r="F442">
        <v>2026</v>
      </c>
      <c r="G442">
        <v>7</v>
      </c>
      <c r="H442">
        <v>0</v>
      </c>
      <c r="I442" t="s">
        <v>39</v>
      </c>
      <c r="J442" t="s">
        <v>40</v>
      </c>
      <c r="L442" t="s">
        <v>64</v>
      </c>
      <c r="M442" t="s">
        <v>56</v>
      </c>
      <c r="O442" t="s">
        <v>67</v>
      </c>
      <c r="P442" t="s">
        <v>44</v>
      </c>
      <c r="Q442" t="s">
        <v>45</v>
      </c>
      <c r="R442">
        <v>0.3</v>
      </c>
      <c r="S442">
        <v>34</v>
      </c>
      <c r="T442">
        <v>10.199999999999999</v>
      </c>
      <c r="U442">
        <v>46268.655147939811</v>
      </c>
      <c r="V442" t="s">
        <v>58</v>
      </c>
    </row>
    <row r="443" spans="1:22" x14ac:dyDescent="0.2">
      <c r="A443">
        <v>1000004046</v>
      </c>
      <c r="B443" t="s">
        <v>134</v>
      </c>
      <c r="C443">
        <v>9000010030</v>
      </c>
      <c r="D443" t="s">
        <v>137</v>
      </c>
      <c r="E443" t="s">
        <v>38</v>
      </c>
      <c r="F443">
        <v>2026</v>
      </c>
      <c r="G443">
        <v>7</v>
      </c>
      <c r="H443">
        <v>0</v>
      </c>
      <c r="I443" t="s">
        <v>39</v>
      </c>
      <c r="J443" t="s">
        <v>40</v>
      </c>
      <c r="L443" t="s">
        <v>65</v>
      </c>
      <c r="M443" t="s">
        <v>56</v>
      </c>
      <c r="O443" t="s">
        <v>67</v>
      </c>
      <c r="P443" t="s">
        <v>44</v>
      </c>
      <c r="Q443" t="s">
        <v>45</v>
      </c>
      <c r="R443">
        <v>2.12</v>
      </c>
      <c r="S443">
        <v>360</v>
      </c>
      <c r="T443">
        <v>763.2</v>
      </c>
      <c r="U443">
        <v>46268.655147939811</v>
      </c>
      <c r="V443" t="s">
        <v>73</v>
      </c>
    </row>
    <row r="444" spans="1:22" x14ac:dyDescent="0.2">
      <c r="A444">
        <v>1000004046</v>
      </c>
      <c r="B444" t="s">
        <v>134</v>
      </c>
      <c r="C444">
        <v>1000005236</v>
      </c>
      <c r="D444" t="s">
        <v>138</v>
      </c>
      <c r="E444" t="s">
        <v>38</v>
      </c>
      <c r="F444">
        <v>2026</v>
      </c>
      <c r="G444">
        <v>7</v>
      </c>
      <c r="H444">
        <v>0</v>
      </c>
      <c r="I444" t="s">
        <v>39</v>
      </c>
      <c r="J444" t="s">
        <v>40</v>
      </c>
      <c r="L444" t="s">
        <v>41</v>
      </c>
      <c r="M444" t="s">
        <v>42</v>
      </c>
      <c r="O444" t="s">
        <v>43</v>
      </c>
      <c r="P444" t="s">
        <v>44</v>
      </c>
      <c r="Q444" t="s">
        <v>45</v>
      </c>
      <c r="R444">
        <v>2.54</v>
      </c>
      <c r="S444">
        <v>1033</v>
      </c>
      <c r="T444">
        <v>2623.82</v>
      </c>
      <c r="U444">
        <v>46268.655147939811</v>
      </c>
      <c r="V444" t="s">
        <v>72</v>
      </c>
    </row>
    <row r="445" spans="1:22" x14ac:dyDescent="0.2">
      <c r="A445">
        <v>1000004046</v>
      </c>
      <c r="B445" t="s">
        <v>134</v>
      </c>
      <c r="C445">
        <v>1000005236</v>
      </c>
      <c r="D445" t="s">
        <v>138</v>
      </c>
      <c r="E445" t="s">
        <v>38</v>
      </c>
      <c r="F445">
        <v>2026</v>
      </c>
      <c r="G445">
        <v>7</v>
      </c>
      <c r="H445">
        <v>0</v>
      </c>
      <c r="I445" t="s">
        <v>39</v>
      </c>
      <c r="J445" t="s">
        <v>40</v>
      </c>
      <c r="L445" t="s">
        <v>64</v>
      </c>
      <c r="M445" t="s">
        <v>42</v>
      </c>
      <c r="O445" t="s">
        <v>43</v>
      </c>
      <c r="P445" t="s">
        <v>44</v>
      </c>
      <c r="Q445" t="s">
        <v>45</v>
      </c>
      <c r="R445">
        <v>2.2400000000000002</v>
      </c>
      <c r="S445">
        <v>269</v>
      </c>
      <c r="T445">
        <v>602.55999999999995</v>
      </c>
      <c r="U445">
        <v>46268.655147939811</v>
      </c>
      <c r="V445" t="s">
        <v>72</v>
      </c>
    </row>
    <row r="446" spans="1:22" x14ac:dyDescent="0.2">
      <c r="A446">
        <v>1000004046</v>
      </c>
      <c r="B446" t="s">
        <v>134</v>
      </c>
      <c r="C446">
        <v>1000005236</v>
      </c>
      <c r="D446" t="s">
        <v>138</v>
      </c>
      <c r="E446" t="s">
        <v>38</v>
      </c>
      <c r="F446">
        <v>2026</v>
      </c>
      <c r="G446">
        <v>7</v>
      </c>
      <c r="H446">
        <v>0</v>
      </c>
      <c r="I446" t="s">
        <v>39</v>
      </c>
      <c r="J446" t="s">
        <v>40</v>
      </c>
      <c r="L446" t="s">
        <v>65</v>
      </c>
      <c r="M446" t="s">
        <v>42</v>
      </c>
      <c r="O446" t="s">
        <v>43</v>
      </c>
      <c r="P446" t="s">
        <v>44</v>
      </c>
      <c r="Q446" t="s">
        <v>45</v>
      </c>
      <c r="R446">
        <v>0.42</v>
      </c>
      <c r="S446">
        <v>2159</v>
      </c>
      <c r="T446">
        <v>906.78</v>
      </c>
      <c r="U446">
        <v>46268.655147939811</v>
      </c>
      <c r="V446" t="s">
        <v>72</v>
      </c>
    </row>
    <row r="447" spans="1:22" x14ac:dyDescent="0.2">
      <c r="A447">
        <v>1000004046</v>
      </c>
      <c r="B447" t="s">
        <v>134</v>
      </c>
      <c r="C447">
        <v>1000005236</v>
      </c>
      <c r="D447" t="s">
        <v>138</v>
      </c>
      <c r="E447" t="s">
        <v>38</v>
      </c>
      <c r="F447">
        <v>2026</v>
      </c>
      <c r="G447">
        <v>7</v>
      </c>
      <c r="H447">
        <v>0</v>
      </c>
      <c r="I447" t="s">
        <v>39</v>
      </c>
      <c r="J447" t="s">
        <v>47</v>
      </c>
      <c r="L447" t="s">
        <v>41</v>
      </c>
      <c r="M447" t="s">
        <v>42</v>
      </c>
      <c r="O447" t="s">
        <v>48</v>
      </c>
      <c r="P447" t="s">
        <v>49</v>
      </c>
      <c r="Q447" t="s">
        <v>45</v>
      </c>
      <c r="R447">
        <v>4.3099999999999996</v>
      </c>
      <c r="S447">
        <v>904</v>
      </c>
      <c r="T447">
        <v>3896.24</v>
      </c>
      <c r="U447">
        <v>46268.655147939811</v>
      </c>
      <c r="V447" t="s">
        <v>66</v>
      </c>
    </row>
    <row r="448" spans="1:22" x14ac:dyDescent="0.2">
      <c r="A448">
        <v>1000004046</v>
      </c>
      <c r="B448" t="s">
        <v>134</v>
      </c>
      <c r="C448">
        <v>1000005236</v>
      </c>
      <c r="D448" t="s">
        <v>138</v>
      </c>
      <c r="E448" t="s">
        <v>38</v>
      </c>
      <c r="F448">
        <v>2026</v>
      </c>
      <c r="G448">
        <v>7</v>
      </c>
      <c r="H448">
        <v>0</v>
      </c>
      <c r="I448" t="s">
        <v>39</v>
      </c>
      <c r="J448" t="s">
        <v>47</v>
      </c>
      <c r="L448" t="s">
        <v>51</v>
      </c>
      <c r="M448" t="s">
        <v>42</v>
      </c>
      <c r="O448" t="s">
        <v>48</v>
      </c>
      <c r="P448" t="s">
        <v>52</v>
      </c>
      <c r="Q448" t="s">
        <v>45</v>
      </c>
      <c r="R448">
        <v>0.09</v>
      </c>
      <c r="S448">
        <v>3424</v>
      </c>
      <c r="T448">
        <v>308.16000000000003</v>
      </c>
      <c r="U448">
        <v>46268.655147939811</v>
      </c>
      <c r="V448" t="s">
        <v>53</v>
      </c>
    </row>
    <row r="449" spans="1:22" x14ac:dyDescent="0.2">
      <c r="A449">
        <v>1000004046</v>
      </c>
      <c r="B449" t="s">
        <v>134</v>
      </c>
      <c r="C449">
        <v>1000005236</v>
      </c>
      <c r="D449" t="s">
        <v>138</v>
      </c>
      <c r="E449" t="s">
        <v>38</v>
      </c>
      <c r="F449">
        <v>2026</v>
      </c>
      <c r="G449">
        <v>7</v>
      </c>
      <c r="H449">
        <v>0</v>
      </c>
      <c r="I449" t="s">
        <v>39</v>
      </c>
      <c r="J449" t="s">
        <v>47</v>
      </c>
      <c r="L449" t="s">
        <v>64</v>
      </c>
      <c r="M449" t="s">
        <v>42</v>
      </c>
      <c r="O449" t="s">
        <v>48</v>
      </c>
      <c r="P449" t="s">
        <v>49</v>
      </c>
      <c r="Q449" t="s">
        <v>45</v>
      </c>
      <c r="R449">
        <v>3.91</v>
      </c>
      <c r="S449">
        <v>325</v>
      </c>
      <c r="T449">
        <v>1270.75</v>
      </c>
      <c r="U449">
        <v>46268.655147939811</v>
      </c>
      <c r="V449" t="s">
        <v>66</v>
      </c>
    </row>
    <row r="450" spans="1:22" x14ac:dyDescent="0.2">
      <c r="A450">
        <v>1000004046</v>
      </c>
      <c r="B450" t="s">
        <v>134</v>
      </c>
      <c r="C450">
        <v>1000005236</v>
      </c>
      <c r="D450" t="s">
        <v>138</v>
      </c>
      <c r="E450" t="s">
        <v>38</v>
      </c>
      <c r="F450">
        <v>2026</v>
      </c>
      <c r="G450">
        <v>7</v>
      </c>
      <c r="H450">
        <v>0</v>
      </c>
      <c r="I450" t="s">
        <v>39</v>
      </c>
      <c r="J450" t="s">
        <v>47</v>
      </c>
      <c r="L450" t="s">
        <v>54</v>
      </c>
      <c r="M450" t="s">
        <v>42</v>
      </c>
      <c r="O450" t="s">
        <v>48</v>
      </c>
      <c r="P450" t="s">
        <v>55</v>
      </c>
      <c r="Q450" t="s">
        <v>45</v>
      </c>
      <c r="R450">
        <v>0.45</v>
      </c>
      <c r="S450">
        <v>3424</v>
      </c>
      <c r="T450">
        <v>1540.8</v>
      </c>
      <c r="U450">
        <v>46268.655147939811</v>
      </c>
      <c r="V450" t="s">
        <v>66</v>
      </c>
    </row>
    <row r="451" spans="1:22" x14ac:dyDescent="0.2">
      <c r="A451">
        <v>1000004046</v>
      </c>
      <c r="B451" t="s">
        <v>134</v>
      </c>
      <c r="C451">
        <v>1000005236</v>
      </c>
      <c r="D451" t="s">
        <v>138</v>
      </c>
      <c r="E451" t="s">
        <v>38</v>
      </c>
      <c r="F451">
        <v>2026</v>
      </c>
      <c r="G451">
        <v>7</v>
      </c>
      <c r="H451">
        <v>0</v>
      </c>
      <c r="I451" t="s">
        <v>39</v>
      </c>
      <c r="J451" t="s">
        <v>40</v>
      </c>
      <c r="L451" t="s">
        <v>64</v>
      </c>
      <c r="M451" t="s">
        <v>56</v>
      </c>
      <c r="O451" t="s">
        <v>67</v>
      </c>
      <c r="P451" t="s">
        <v>44</v>
      </c>
      <c r="Q451" t="s">
        <v>45</v>
      </c>
      <c r="R451">
        <v>0.3</v>
      </c>
      <c r="S451">
        <v>269</v>
      </c>
      <c r="T451">
        <v>80.7</v>
      </c>
      <c r="U451">
        <v>46268.655147939811</v>
      </c>
      <c r="V451" t="s">
        <v>58</v>
      </c>
    </row>
    <row r="452" spans="1:22" x14ac:dyDescent="0.2">
      <c r="A452">
        <v>1000004046</v>
      </c>
      <c r="B452" t="s">
        <v>134</v>
      </c>
      <c r="C452">
        <v>1000005236</v>
      </c>
      <c r="D452" t="s">
        <v>138</v>
      </c>
      <c r="E452" t="s">
        <v>38</v>
      </c>
      <c r="F452">
        <v>2026</v>
      </c>
      <c r="G452">
        <v>7</v>
      </c>
      <c r="H452">
        <v>0</v>
      </c>
      <c r="I452" t="s">
        <v>39</v>
      </c>
      <c r="J452" t="s">
        <v>40</v>
      </c>
      <c r="L452" t="s">
        <v>65</v>
      </c>
      <c r="M452" t="s">
        <v>56</v>
      </c>
      <c r="O452" t="s">
        <v>67</v>
      </c>
      <c r="P452" t="s">
        <v>44</v>
      </c>
      <c r="Q452" t="s">
        <v>45</v>
      </c>
      <c r="R452">
        <v>2.12</v>
      </c>
      <c r="S452">
        <v>2159</v>
      </c>
      <c r="T452">
        <v>4577.08</v>
      </c>
      <c r="U452">
        <v>46268.655147939811</v>
      </c>
      <c r="V452" t="s">
        <v>73</v>
      </c>
    </row>
    <row r="453" spans="1:22" x14ac:dyDescent="0.2">
      <c r="A453">
        <v>1000004046</v>
      </c>
      <c r="B453" t="s">
        <v>134</v>
      </c>
      <c r="C453">
        <v>1000005236</v>
      </c>
      <c r="D453" t="s">
        <v>138</v>
      </c>
      <c r="E453" t="s">
        <v>38</v>
      </c>
      <c r="F453">
        <v>2026</v>
      </c>
      <c r="G453">
        <v>7</v>
      </c>
      <c r="H453">
        <v>0</v>
      </c>
      <c r="I453" t="s">
        <v>39</v>
      </c>
      <c r="J453" t="s">
        <v>40</v>
      </c>
      <c r="K453" t="s">
        <v>96</v>
      </c>
      <c r="L453" t="s">
        <v>65</v>
      </c>
      <c r="M453" t="s">
        <v>56</v>
      </c>
      <c r="O453" t="s">
        <v>67</v>
      </c>
      <c r="P453" t="s">
        <v>44</v>
      </c>
      <c r="Q453" t="s">
        <v>45</v>
      </c>
      <c r="R453">
        <v>0</v>
      </c>
      <c r="S453">
        <v>4</v>
      </c>
      <c r="T453">
        <v>0</v>
      </c>
      <c r="U453">
        <v>46268.655147939811</v>
      </c>
      <c r="V453" t="s">
        <v>97</v>
      </c>
    </row>
    <row r="454" spans="1:22" x14ac:dyDescent="0.2">
      <c r="A454">
        <v>1000004046</v>
      </c>
      <c r="B454" t="s">
        <v>134</v>
      </c>
      <c r="C454">
        <v>1000005236</v>
      </c>
      <c r="D454" t="s">
        <v>138</v>
      </c>
      <c r="E454" t="s">
        <v>38</v>
      </c>
      <c r="F454">
        <v>2026</v>
      </c>
      <c r="G454">
        <v>7</v>
      </c>
      <c r="H454">
        <v>0</v>
      </c>
      <c r="I454" t="s">
        <v>39</v>
      </c>
      <c r="J454" t="s">
        <v>47</v>
      </c>
      <c r="L454" t="s">
        <v>41</v>
      </c>
      <c r="M454" t="s">
        <v>56</v>
      </c>
      <c r="O454" t="s">
        <v>57</v>
      </c>
      <c r="P454" t="s">
        <v>44</v>
      </c>
      <c r="Q454" t="s">
        <v>45</v>
      </c>
      <c r="R454">
        <v>0.125</v>
      </c>
      <c r="S454">
        <v>904</v>
      </c>
      <c r="T454">
        <v>113</v>
      </c>
      <c r="U454">
        <v>46268.655147939811</v>
      </c>
      <c r="V454" t="s">
        <v>58</v>
      </c>
    </row>
    <row r="455" spans="1:22" x14ac:dyDescent="0.2">
      <c r="A455">
        <v>1000004046</v>
      </c>
      <c r="B455" t="s">
        <v>134</v>
      </c>
      <c r="C455">
        <v>1000005236</v>
      </c>
      <c r="D455" t="s">
        <v>138</v>
      </c>
      <c r="E455" t="s">
        <v>38</v>
      </c>
      <c r="F455">
        <v>2026</v>
      </c>
      <c r="G455">
        <v>7</v>
      </c>
      <c r="H455">
        <v>0</v>
      </c>
      <c r="I455" t="s">
        <v>39</v>
      </c>
      <c r="J455" t="s">
        <v>47</v>
      </c>
      <c r="L455" t="s">
        <v>64</v>
      </c>
      <c r="M455" t="s">
        <v>56</v>
      </c>
      <c r="O455" t="s">
        <v>57</v>
      </c>
      <c r="P455" t="s">
        <v>44</v>
      </c>
      <c r="Q455" t="s">
        <v>45</v>
      </c>
      <c r="R455">
        <v>0.52500000000000002</v>
      </c>
      <c r="S455">
        <v>325</v>
      </c>
      <c r="T455">
        <v>170.62</v>
      </c>
      <c r="U455">
        <v>46268.655147939811</v>
      </c>
      <c r="V455" t="s">
        <v>58</v>
      </c>
    </row>
    <row r="456" spans="1:22" x14ac:dyDescent="0.2">
      <c r="A456">
        <v>1000004046</v>
      </c>
      <c r="B456" t="s">
        <v>134</v>
      </c>
      <c r="C456">
        <v>1000005236</v>
      </c>
      <c r="D456" t="s">
        <v>138</v>
      </c>
      <c r="E456" t="s">
        <v>38</v>
      </c>
      <c r="F456">
        <v>2026</v>
      </c>
      <c r="G456">
        <v>7</v>
      </c>
      <c r="H456">
        <v>0</v>
      </c>
      <c r="I456" t="s">
        <v>39</v>
      </c>
      <c r="J456" t="s">
        <v>47</v>
      </c>
      <c r="L456" t="s">
        <v>65</v>
      </c>
      <c r="M456" t="s">
        <v>56</v>
      </c>
      <c r="O456" t="s">
        <v>57</v>
      </c>
      <c r="P456" t="s">
        <v>44</v>
      </c>
      <c r="Q456" t="s">
        <v>45</v>
      </c>
      <c r="R456">
        <v>4.4349999999999996</v>
      </c>
      <c r="S456">
        <v>2195</v>
      </c>
      <c r="T456">
        <v>9734.82</v>
      </c>
      <c r="U456">
        <v>46268.655147939811</v>
      </c>
      <c r="V456" t="s">
        <v>58</v>
      </c>
    </row>
    <row r="457" spans="1:22" x14ac:dyDescent="0.2">
      <c r="A457">
        <v>2000010447</v>
      </c>
      <c r="B457" t="s">
        <v>139</v>
      </c>
      <c r="C457">
        <v>9000018188</v>
      </c>
      <c r="D457" t="s">
        <v>140</v>
      </c>
      <c r="E457" t="s">
        <v>38</v>
      </c>
      <c r="F457">
        <v>2026</v>
      </c>
      <c r="G457">
        <v>7</v>
      </c>
      <c r="H457">
        <v>0</v>
      </c>
      <c r="I457" t="s">
        <v>39</v>
      </c>
      <c r="J457" t="s">
        <v>47</v>
      </c>
      <c r="L457" t="s">
        <v>41</v>
      </c>
      <c r="M457" t="s">
        <v>42</v>
      </c>
      <c r="O457" t="s">
        <v>48</v>
      </c>
      <c r="P457" t="s">
        <v>49</v>
      </c>
      <c r="Q457" t="s">
        <v>45</v>
      </c>
      <c r="R457">
        <v>4.3099999999999996</v>
      </c>
      <c r="S457">
        <v>159</v>
      </c>
      <c r="T457">
        <v>685.29</v>
      </c>
      <c r="U457">
        <v>46268.655147939811</v>
      </c>
      <c r="V457" t="s">
        <v>66</v>
      </c>
    </row>
    <row r="458" spans="1:22" x14ac:dyDescent="0.2">
      <c r="A458">
        <v>2000010447</v>
      </c>
      <c r="B458" t="s">
        <v>139</v>
      </c>
      <c r="C458">
        <v>9000018188</v>
      </c>
      <c r="D458" t="s">
        <v>140</v>
      </c>
      <c r="E458" t="s">
        <v>38</v>
      </c>
      <c r="F458">
        <v>2026</v>
      </c>
      <c r="G458">
        <v>7</v>
      </c>
      <c r="H458">
        <v>0</v>
      </c>
      <c r="I458" t="s">
        <v>39</v>
      </c>
      <c r="J458" t="s">
        <v>47</v>
      </c>
      <c r="L458" t="s">
        <v>51</v>
      </c>
      <c r="M458" t="s">
        <v>42</v>
      </c>
      <c r="O458" t="s">
        <v>48</v>
      </c>
      <c r="P458" t="s">
        <v>52</v>
      </c>
      <c r="Q458" t="s">
        <v>45</v>
      </c>
      <c r="R458">
        <v>0.09</v>
      </c>
      <c r="S458">
        <v>182</v>
      </c>
      <c r="T458">
        <v>16.38</v>
      </c>
      <c r="U458">
        <v>46268.655147939811</v>
      </c>
      <c r="V458" t="s">
        <v>53</v>
      </c>
    </row>
    <row r="459" spans="1:22" x14ac:dyDescent="0.2">
      <c r="A459">
        <v>2000010447</v>
      </c>
      <c r="B459" t="s">
        <v>139</v>
      </c>
      <c r="C459">
        <v>9000018188</v>
      </c>
      <c r="D459" t="s">
        <v>140</v>
      </c>
      <c r="E459" t="s">
        <v>38</v>
      </c>
      <c r="F459">
        <v>2026</v>
      </c>
      <c r="G459">
        <v>7</v>
      </c>
      <c r="H459">
        <v>0</v>
      </c>
      <c r="I459" t="s">
        <v>39</v>
      </c>
      <c r="J459" t="s">
        <v>47</v>
      </c>
      <c r="L459" t="s">
        <v>54</v>
      </c>
      <c r="M459" t="s">
        <v>42</v>
      </c>
      <c r="O459" t="s">
        <v>48</v>
      </c>
      <c r="P459" t="s">
        <v>55</v>
      </c>
      <c r="Q459" t="s">
        <v>45</v>
      </c>
      <c r="R459">
        <v>0.45</v>
      </c>
      <c r="S459">
        <v>182</v>
      </c>
      <c r="T459">
        <v>81.900000000000006</v>
      </c>
      <c r="U459">
        <v>46268.655147939811</v>
      </c>
      <c r="V459" t="s">
        <v>66</v>
      </c>
    </row>
    <row r="460" spans="1:22" x14ac:dyDescent="0.2">
      <c r="A460">
        <v>2000010447</v>
      </c>
      <c r="B460" t="s">
        <v>139</v>
      </c>
      <c r="C460">
        <v>9000018188</v>
      </c>
      <c r="D460" t="s">
        <v>140</v>
      </c>
      <c r="E460" t="s">
        <v>38</v>
      </c>
      <c r="F460">
        <v>2026</v>
      </c>
      <c r="G460">
        <v>7</v>
      </c>
      <c r="H460">
        <v>0</v>
      </c>
      <c r="I460" t="s">
        <v>39</v>
      </c>
      <c r="J460" t="s">
        <v>47</v>
      </c>
      <c r="L460" t="s">
        <v>41</v>
      </c>
      <c r="M460" t="s">
        <v>56</v>
      </c>
      <c r="O460" t="s">
        <v>57</v>
      </c>
      <c r="P460" t="s">
        <v>44</v>
      </c>
      <c r="Q460" t="s">
        <v>45</v>
      </c>
      <c r="R460">
        <v>0.125</v>
      </c>
      <c r="S460">
        <v>159</v>
      </c>
      <c r="T460">
        <v>19.87</v>
      </c>
      <c r="U460">
        <v>46268.655147939811</v>
      </c>
      <c r="V460" t="s">
        <v>58</v>
      </c>
    </row>
    <row r="461" spans="1:22" x14ac:dyDescent="0.2">
      <c r="A461">
        <v>2000010447</v>
      </c>
      <c r="B461" t="s">
        <v>139</v>
      </c>
      <c r="C461">
        <v>9000018188</v>
      </c>
      <c r="D461" t="s">
        <v>140</v>
      </c>
      <c r="E461" t="s">
        <v>38</v>
      </c>
      <c r="F461">
        <v>2026</v>
      </c>
      <c r="G461">
        <v>7</v>
      </c>
      <c r="H461">
        <v>0</v>
      </c>
      <c r="I461" t="s">
        <v>39</v>
      </c>
      <c r="J461" t="s">
        <v>47</v>
      </c>
      <c r="L461" t="s">
        <v>65</v>
      </c>
      <c r="M461" t="s">
        <v>56</v>
      </c>
      <c r="O461" t="s">
        <v>57</v>
      </c>
      <c r="P461" t="s">
        <v>44</v>
      </c>
      <c r="Q461" t="s">
        <v>45</v>
      </c>
      <c r="R461">
        <v>4.4349999999999996</v>
      </c>
      <c r="S461">
        <v>23</v>
      </c>
      <c r="T461">
        <v>102</v>
      </c>
      <c r="U461">
        <v>46268.655147939811</v>
      </c>
      <c r="V461" t="s">
        <v>58</v>
      </c>
    </row>
    <row r="462" spans="1:22" x14ac:dyDescent="0.2">
      <c r="A462">
        <v>1000003811</v>
      </c>
      <c r="B462" t="s">
        <v>141</v>
      </c>
      <c r="C462">
        <v>1000001301</v>
      </c>
      <c r="D462" t="s">
        <v>142</v>
      </c>
      <c r="E462" t="s">
        <v>38</v>
      </c>
      <c r="F462">
        <v>2026</v>
      </c>
      <c r="G462">
        <v>7</v>
      </c>
      <c r="H462">
        <v>0</v>
      </c>
      <c r="I462" t="s">
        <v>39</v>
      </c>
      <c r="J462" t="s">
        <v>40</v>
      </c>
      <c r="L462" t="s">
        <v>41</v>
      </c>
      <c r="M462" t="s">
        <v>42</v>
      </c>
      <c r="O462" t="s">
        <v>43</v>
      </c>
      <c r="P462" t="s">
        <v>44</v>
      </c>
      <c r="Q462" t="s">
        <v>45</v>
      </c>
      <c r="R462">
        <v>2.54</v>
      </c>
      <c r="S462">
        <v>285</v>
      </c>
      <c r="T462">
        <v>723.9</v>
      </c>
      <c r="U462">
        <v>46268.655147939811</v>
      </c>
      <c r="V462" t="s">
        <v>72</v>
      </c>
    </row>
    <row r="463" spans="1:22" x14ac:dyDescent="0.2">
      <c r="A463">
        <v>1000003811</v>
      </c>
      <c r="B463" t="s">
        <v>141</v>
      </c>
      <c r="C463">
        <v>1000001301</v>
      </c>
      <c r="D463" t="s">
        <v>142</v>
      </c>
      <c r="E463" t="s">
        <v>38</v>
      </c>
      <c r="F463">
        <v>2026</v>
      </c>
      <c r="G463">
        <v>7</v>
      </c>
      <c r="H463">
        <v>0</v>
      </c>
      <c r="I463" t="s">
        <v>39</v>
      </c>
      <c r="J463" t="s">
        <v>40</v>
      </c>
      <c r="L463" t="s">
        <v>64</v>
      </c>
      <c r="M463" t="s">
        <v>42</v>
      </c>
      <c r="O463" t="s">
        <v>43</v>
      </c>
      <c r="P463" t="s">
        <v>44</v>
      </c>
      <c r="Q463" t="s">
        <v>45</v>
      </c>
      <c r="R463">
        <v>2.2400000000000002</v>
      </c>
      <c r="S463">
        <v>124</v>
      </c>
      <c r="T463">
        <v>277.76</v>
      </c>
      <c r="U463">
        <v>46268.655147939811</v>
      </c>
      <c r="V463" t="s">
        <v>72</v>
      </c>
    </row>
    <row r="464" spans="1:22" x14ac:dyDescent="0.2">
      <c r="A464">
        <v>1000003811</v>
      </c>
      <c r="B464" t="s">
        <v>141</v>
      </c>
      <c r="C464">
        <v>1000001301</v>
      </c>
      <c r="D464" t="s">
        <v>142</v>
      </c>
      <c r="E464" t="s">
        <v>38</v>
      </c>
      <c r="F464">
        <v>2026</v>
      </c>
      <c r="G464">
        <v>7</v>
      </c>
      <c r="H464">
        <v>0</v>
      </c>
      <c r="I464" t="s">
        <v>39</v>
      </c>
      <c r="J464" t="s">
        <v>40</v>
      </c>
      <c r="L464" t="s">
        <v>65</v>
      </c>
      <c r="M464" t="s">
        <v>42</v>
      </c>
      <c r="O464" t="s">
        <v>43</v>
      </c>
      <c r="P464" t="s">
        <v>44</v>
      </c>
      <c r="Q464" t="s">
        <v>45</v>
      </c>
      <c r="R464">
        <v>0.42</v>
      </c>
      <c r="S464">
        <v>724</v>
      </c>
      <c r="T464">
        <v>304.08</v>
      </c>
      <c r="U464">
        <v>46268.655147939811</v>
      </c>
      <c r="V464" t="s">
        <v>72</v>
      </c>
    </row>
    <row r="465" spans="1:22" x14ac:dyDescent="0.2">
      <c r="A465">
        <v>1000003811</v>
      </c>
      <c r="B465" t="s">
        <v>141</v>
      </c>
      <c r="C465">
        <v>1000001301</v>
      </c>
      <c r="D465" t="s">
        <v>142</v>
      </c>
      <c r="E465" t="s">
        <v>38</v>
      </c>
      <c r="F465">
        <v>2026</v>
      </c>
      <c r="G465">
        <v>7</v>
      </c>
      <c r="H465">
        <v>0</v>
      </c>
      <c r="I465" t="s">
        <v>39</v>
      </c>
      <c r="J465" t="s">
        <v>47</v>
      </c>
      <c r="L465" t="s">
        <v>41</v>
      </c>
      <c r="M465" t="s">
        <v>42</v>
      </c>
      <c r="O465" t="s">
        <v>48</v>
      </c>
      <c r="P465" t="s">
        <v>49</v>
      </c>
      <c r="Q465" t="s">
        <v>45</v>
      </c>
      <c r="R465">
        <v>4.3099999999999996</v>
      </c>
      <c r="S465">
        <v>426</v>
      </c>
      <c r="T465">
        <v>1836.06</v>
      </c>
      <c r="U465">
        <v>46268.655147939811</v>
      </c>
      <c r="V465" t="s">
        <v>66</v>
      </c>
    </row>
    <row r="466" spans="1:22" x14ac:dyDescent="0.2">
      <c r="A466">
        <v>1000003811</v>
      </c>
      <c r="B466" t="s">
        <v>141</v>
      </c>
      <c r="C466">
        <v>1000001301</v>
      </c>
      <c r="D466" t="s">
        <v>142</v>
      </c>
      <c r="E466" t="s">
        <v>38</v>
      </c>
      <c r="F466">
        <v>2026</v>
      </c>
      <c r="G466">
        <v>7</v>
      </c>
      <c r="H466">
        <v>0</v>
      </c>
      <c r="I466" t="s">
        <v>39</v>
      </c>
      <c r="J466" t="s">
        <v>47</v>
      </c>
      <c r="L466" t="s">
        <v>51</v>
      </c>
      <c r="M466" t="s">
        <v>42</v>
      </c>
      <c r="O466" t="s">
        <v>48</v>
      </c>
      <c r="P466" t="s">
        <v>52</v>
      </c>
      <c r="Q466" t="s">
        <v>45</v>
      </c>
      <c r="R466">
        <v>0.09</v>
      </c>
      <c r="S466">
        <v>1742</v>
      </c>
      <c r="T466">
        <v>156.78</v>
      </c>
      <c r="U466">
        <v>46268.655147939811</v>
      </c>
      <c r="V466" t="s">
        <v>53</v>
      </c>
    </row>
    <row r="467" spans="1:22" x14ac:dyDescent="0.2">
      <c r="A467">
        <v>1000003811</v>
      </c>
      <c r="B467" t="s">
        <v>141</v>
      </c>
      <c r="C467">
        <v>1000001301</v>
      </c>
      <c r="D467" t="s">
        <v>142</v>
      </c>
      <c r="E467" t="s">
        <v>38</v>
      </c>
      <c r="F467">
        <v>2026</v>
      </c>
      <c r="G467">
        <v>7</v>
      </c>
      <c r="H467">
        <v>0</v>
      </c>
      <c r="I467" t="s">
        <v>39</v>
      </c>
      <c r="J467" t="s">
        <v>47</v>
      </c>
      <c r="L467" t="s">
        <v>64</v>
      </c>
      <c r="M467" t="s">
        <v>42</v>
      </c>
      <c r="O467" t="s">
        <v>48</v>
      </c>
      <c r="P467" t="s">
        <v>49</v>
      </c>
      <c r="Q467" t="s">
        <v>45</v>
      </c>
      <c r="R467">
        <v>3.91</v>
      </c>
      <c r="S467">
        <v>182</v>
      </c>
      <c r="T467">
        <v>711.62</v>
      </c>
      <c r="U467">
        <v>46268.655147939811</v>
      </c>
      <c r="V467" t="s">
        <v>66</v>
      </c>
    </row>
    <row r="468" spans="1:22" x14ac:dyDescent="0.2">
      <c r="A468">
        <v>1000003811</v>
      </c>
      <c r="B468" t="s">
        <v>141</v>
      </c>
      <c r="C468">
        <v>1000001301</v>
      </c>
      <c r="D468" t="s">
        <v>142</v>
      </c>
      <c r="E468" t="s">
        <v>38</v>
      </c>
      <c r="F468">
        <v>2026</v>
      </c>
      <c r="G468">
        <v>7</v>
      </c>
      <c r="H468">
        <v>0</v>
      </c>
      <c r="I468" t="s">
        <v>39</v>
      </c>
      <c r="J468" t="s">
        <v>47</v>
      </c>
      <c r="L468" t="s">
        <v>54</v>
      </c>
      <c r="M468" t="s">
        <v>42</v>
      </c>
      <c r="O468" t="s">
        <v>48</v>
      </c>
      <c r="P468" t="s">
        <v>55</v>
      </c>
      <c r="Q468" t="s">
        <v>45</v>
      </c>
      <c r="R468">
        <v>0.45</v>
      </c>
      <c r="S468">
        <v>1742</v>
      </c>
      <c r="T468">
        <v>783.9</v>
      </c>
      <c r="U468">
        <v>46268.655147939811</v>
      </c>
      <c r="V468" t="s">
        <v>66</v>
      </c>
    </row>
    <row r="469" spans="1:22" x14ac:dyDescent="0.2">
      <c r="A469">
        <v>1000003811</v>
      </c>
      <c r="B469" t="s">
        <v>141</v>
      </c>
      <c r="C469">
        <v>1000001301</v>
      </c>
      <c r="D469" t="s">
        <v>142</v>
      </c>
      <c r="E469" t="s">
        <v>38</v>
      </c>
      <c r="F469">
        <v>2026</v>
      </c>
      <c r="G469">
        <v>7</v>
      </c>
      <c r="H469">
        <v>0</v>
      </c>
      <c r="I469" t="s">
        <v>39</v>
      </c>
      <c r="J469" t="s">
        <v>40</v>
      </c>
      <c r="L469" t="s">
        <v>64</v>
      </c>
      <c r="M469" t="s">
        <v>56</v>
      </c>
      <c r="O469" t="s">
        <v>67</v>
      </c>
      <c r="P469" t="s">
        <v>44</v>
      </c>
      <c r="Q469" t="s">
        <v>45</v>
      </c>
      <c r="R469">
        <v>0.3</v>
      </c>
      <c r="S469">
        <v>124</v>
      </c>
      <c r="T469">
        <v>37.200000000000003</v>
      </c>
      <c r="U469">
        <v>46268.655147939811</v>
      </c>
      <c r="V469" t="s">
        <v>58</v>
      </c>
    </row>
    <row r="470" spans="1:22" x14ac:dyDescent="0.2">
      <c r="A470">
        <v>1000003811</v>
      </c>
      <c r="B470" t="s">
        <v>141</v>
      </c>
      <c r="C470">
        <v>1000001301</v>
      </c>
      <c r="D470" t="s">
        <v>142</v>
      </c>
      <c r="E470" t="s">
        <v>38</v>
      </c>
      <c r="F470">
        <v>2026</v>
      </c>
      <c r="G470">
        <v>7</v>
      </c>
      <c r="H470">
        <v>0</v>
      </c>
      <c r="I470" t="s">
        <v>39</v>
      </c>
      <c r="J470" t="s">
        <v>40</v>
      </c>
      <c r="L470" t="s">
        <v>65</v>
      </c>
      <c r="M470" t="s">
        <v>56</v>
      </c>
      <c r="O470" t="s">
        <v>67</v>
      </c>
      <c r="P470" t="s">
        <v>44</v>
      </c>
      <c r="Q470" t="s">
        <v>45</v>
      </c>
      <c r="R470">
        <v>2.12</v>
      </c>
      <c r="S470">
        <v>724</v>
      </c>
      <c r="T470">
        <v>1534.88</v>
      </c>
      <c r="U470">
        <v>46268.655147939811</v>
      </c>
      <c r="V470" t="s">
        <v>73</v>
      </c>
    </row>
    <row r="471" spans="1:22" x14ac:dyDescent="0.2">
      <c r="A471">
        <v>1000003811</v>
      </c>
      <c r="B471" t="s">
        <v>141</v>
      </c>
      <c r="C471">
        <v>1000001301</v>
      </c>
      <c r="D471" t="s">
        <v>142</v>
      </c>
      <c r="E471" t="s">
        <v>38</v>
      </c>
      <c r="F471">
        <v>2026</v>
      </c>
      <c r="G471">
        <v>7</v>
      </c>
      <c r="H471">
        <v>0</v>
      </c>
      <c r="I471" t="s">
        <v>39</v>
      </c>
      <c r="J471" t="s">
        <v>47</v>
      </c>
      <c r="L471" t="s">
        <v>41</v>
      </c>
      <c r="M471" t="s">
        <v>56</v>
      </c>
      <c r="O471" t="s">
        <v>57</v>
      </c>
      <c r="P471" t="s">
        <v>44</v>
      </c>
      <c r="Q471" t="s">
        <v>45</v>
      </c>
      <c r="R471">
        <v>0.125</v>
      </c>
      <c r="S471">
        <v>426</v>
      </c>
      <c r="T471">
        <v>53.25</v>
      </c>
      <c r="U471">
        <v>46268.655147939811</v>
      </c>
      <c r="V471" t="s">
        <v>58</v>
      </c>
    </row>
    <row r="472" spans="1:22" x14ac:dyDescent="0.2">
      <c r="A472">
        <v>1000003811</v>
      </c>
      <c r="B472" t="s">
        <v>141</v>
      </c>
      <c r="C472">
        <v>1000001301</v>
      </c>
      <c r="D472" t="s">
        <v>142</v>
      </c>
      <c r="E472" t="s">
        <v>38</v>
      </c>
      <c r="F472">
        <v>2026</v>
      </c>
      <c r="G472">
        <v>7</v>
      </c>
      <c r="H472">
        <v>0</v>
      </c>
      <c r="I472" t="s">
        <v>39</v>
      </c>
      <c r="J472" t="s">
        <v>47</v>
      </c>
      <c r="L472" t="s">
        <v>64</v>
      </c>
      <c r="M472" t="s">
        <v>56</v>
      </c>
      <c r="O472" t="s">
        <v>57</v>
      </c>
      <c r="P472" t="s">
        <v>44</v>
      </c>
      <c r="Q472" t="s">
        <v>45</v>
      </c>
      <c r="R472">
        <v>0.52500000000000002</v>
      </c>
      <c r="S472">
        <v>182</v>
      </c>
      <c r="T472">
        <v>95.55</v>
      </c>
      <c r="U472">
        <v>46268.655147939811</v>
      </c>
      <c r="V472" t="s">
        <v>58</v>
      </c>
    </row>
    <row r="473" spans="1:22" x14ac:dyDescent="0.2">
      <c r="A473">
        <v>1000003811</v>
      </c>
      <c r="B473" t="s">
        <v>141</v>
      </c>
      <c r="C473">
        <v>1000001301</v>
      </c>
      <c r="D473" t="s">
        <v>142</v>
      </c>
      <c r="E473" t="s">
        <v>38</v>
      </c>
      <c r="F473">
        <v>2026</v>
      </c>
      <c r="G473">
        <v>7</v>
      </c>
      <c r="H473">
        <v>0</v>
      </c>
      <c r="I473" t="s">
        <v>39</v>
      </c>
      <c r="J473" t="s">
        <v>47</v>
      </c>
      <c r="L473" t="s">
        <v>65</v>
      </c>
      <c r="M473" t="s">
        <v>56</v>
      </c>
      <c r="O473" t="s">
        <v>57</v>
      </c>
      <c r="P473" t="s">
        <v>44</v>
      </c>
      <c r="Q473" t="s">
        <v>45</v>
      </c>
      <c r="R473">
        <v>4.4349999999999996</v>
      </c>
      <c r="S473">
        <v>1134</v>
      </c>
      <c r="T473">
        <v>5029.29</v>
      </c>
      <c r="U473">
        <v>46268.655147939811</v>
      </c>
      <c r="V473" t="s">
        <v>58</v>
      </c>
    </row>
    <row r="474" spans="1:22" x14ac:dyDescent="0.2">
      <c r="A474">
        <v>1000003887</v>
      </c>
      <c r="B474" t="s">
        <v>143</v>
      </c>
      <c r="C474">
        <v>1000001723</v>
      </c>
      <c r="D474" t="s">
        <v>144</v>
      </c>
      <c r="E474" t="s">
        <v>38</v>
      </c>
      <c r="F474">
        <v>2026</v>
      </c>
      <c r="G474">
        <v>7</v>
      </c>
      <c r="H474">
        <v>1</v>
      </c>
      <c r="I474" t="s">
        <v>39</v>
      </c>
      <c r="J474" t="s">
        <v>40</v>
      </c>
      <c r="L474" t="s">
        <v>41</v>
      </c>
      <c r="M474" t="s">
        <v>42</v>
      </c>
      <c r="O474" t="s">
        <v>43</v>
      </c>
      <c r="P474" t="s">
        <v>44</v>
      </c>
      <c r="Q474" t="s">
        <v>45</v>
      </c>
      <c r="R474">
        <v>3.05</v>
      </c>
      <c r="S474">
        <v>627</v>
      </c>
      <c r="T474">
        <v>1912.35</v>
      </c>
      <c r="U474">
        <v>46268.655147939811</v>
      </c>
      <c r="V474" t="s">
        <v>46</v>
      </c>
    </row>
    <row r="475" spans="1:22" x14ac:dyDescent="0.2">
      <c r="A475">
        <v>1000003887</v>
      </c>
      <c r="B475" t="s">
        <v>143</v>
      </c>
      <c r="C475">
        <v>1000001723</v>
      </c>
      <c r="D475" t="s">
        <v>144</v>
      </c>
      <c r="E475" t="s">
        <v>38</v>
      </c>
      <c r="F475">
        <v>2026</v>
      </c>
      <c r="G475">
        <v>7</v>
      </c>
      <c r="H475">
        <v>1</v>
      </c>
      <c r="I475" t="s">
        <v>39</v>
      </c>
      <c r="J475" t="s">
        <v>40</v>
      </c>
      <c r="L475" t="s">
        <v>64</v>
      </c>
      <c r="M475" t="s">
        <v>42</v>
      </c>
      <c r="O475" t="s">
        <v>43</v>
      </c>
      <c r="P475" t="s">
        <v>44</v>
      </c>
      <c r="Q475" t="s">
        <v>45</v>
      </c>
      <c r="R475">
        <v>2.75</v>
      </c>
      <c r="S475">
        <v>72</v>
      </c>
      <c r="T475">
        <v>198</v>
      </c>
      <c r="U475">
        <v>46268.655147939811</v>
      </c>
      <c r="V475" t="s">
        <v>46</v>
      </c>
    </row>
    <row r="476" spans="1:22" x14ac:dyDescent="0.2">
      <c r="A476">
        <v>1000003887</v>
      </c>
      <c r="B476" t="s">
        <v>143</v>
      </c>
      <c r="C476">
        <v>1000001723</v>
      </c>
      <c r="D476" t="s">
        <v>144</v>
      </c>
      <c r="E476" t="s">
        <v>38</v>
      </c>
      <c r="F476">
        <v>2026</v>
      </c>
      <c r="G476">
        <v>7</v>
      </c>
      <c r="H476">
        <v>1</v>
      </c>
      <c r="I476" t="s">
        <v>39</v>
      </c>
      <c r="J476" t="s">
        <v>40</v>
      </c>
      <c r="L476" t="s">
        <v>65</v>
      </c>
      <c r="M476" t="s">
        <v>42</v>
      </c>
      <c r="O476" t="s">
        <v>43</v>
      </c>
      <c r="P476" t="s">
        <v>44</v>
      </c>
      <c r="Q476" t="s">
        <v>45</v>
      </c>
      <c r="R476">
        <v>0.42</v>
      </c>
      <c r="S476">
        <v>307</v>
      </c>
      <c r="T476">
        <v>128.94</v>
      </c>
      <c r="U476">
        <v>46268.655147939811</v>
      </c>
      <c r="V476" t="s">
        <v>46</v>
      </c>
    </row>
    <row r="477" spans="1:22" x14ac:dyDescent="0.2">
      <c r="A477">
        <v>1000003887</v>
      </c>
      <c r="B477" t="s">
        <v>143</v>
      </c>
      <c r="C477">
        <v>1000001723</v>
      </c>
      <c r="D477" t="s">
        <v>144</v>
      </c>
      <c r="E477" t="s">
        <v>38</v>
      </c>
      <c r="F477">
        <v>2026</v>
      </c>
      <c r="G477">
        <v>7</v>
      </c>
      <c r="H477">
        <v>1</v>
      </c>
      <c r="I477" t="s">
        <v>39</v>
      </c>
      <c r="J477" t="s">
        <v>47</v>
      </c>
      <c r="L477" t="s">
        <v>41</v>
      </c>
      <c r="M477" t="s">
        <v>42</v>
      </c>
      <c r="O477" t="s">
        <v>48</v>
      </c>
      <c r="P477" t="s">
        <v>49</v>
      </c>
      <c r="Q477" t="s">
        <v>45</v>
      </c>
      <c r="R477">
        <v>4.3099999999999996</v>
      </c>
      <c r="S477">
        <v>1185</v>
      </c>
      <c r="T477">
        <v>5107.3500000000004</v>
      </c>
      <c r="U477">
        <v>46268.655147939811</v>
      </c>
      <c r="V477" t="s">
        <v>66</v>
      </c>
    </row>
    <row r="478" spans="1:22" x14ac:dyDescent="0.2">
      <c r="A478">
        <v>1000003887</v>
      </c>
      <c r="B478" t="s">
        <v>143</v>
      </c>
      <c r="C478">
        <v>1000001723</v>
      </c>
      <c r="D478" t="s">
        <v>144</v>
      </c>
      <c r="E478" t="s">
        <v>38</v>
      </c>
      <c r="F478">
        <v>2026</v>
      </c>
      <c r="G478">
        <v>7</v>
      </c>
      <c r="H478">
        <v>1</v>
      </c>
      <c r="I478" t="s">
        <v>39</v>
      </c>
      <c r="J478" t="s">
        <v>47</v>
      </c>
      <c r="L478" t="s">
        <v>51</v>
      </c>
      <c r="M478" t="s">
        <v>42</v>
      </c>
      <c r="O478" t="s">
        <v>48</v>
      </c>
      <c r="P478" t="s">
        <v>52</v>
      </c>
      <c r="Q478" t="s">
        <v>45</v>
      </c>
      <c r="R478">
        <v>0.09</v>
      </c>
      <c r="S478">
        <v>2107</v>
      </c>
      <c r="T478">
        <v>189.63</v>
      </c>
      <c r="U478">
        <v>46268.655147939811</v>
      </c>
      <c r="V478" t="s">
        <v>53</v>
      </c>
    </row>
    <row r="479" spans="1:22" x14ac:dyDescent="0.2">
      <c r="A479">
        <v>1000003887</v>
      </c>
      <c r="B479" t="s">
        <v>143</v>
      </c>
      <c r="C479">
        <v>1000001723</v>
      </c>
      <c r="D479" t="s">
        <v>144</v>
      </c>
      <c r="E479" t="s">
        <v>38</v>
      </c>
      <c r="F479">
        <v>2026</v>
      </c>
      <c r="G479">
        <v>7</v>
      </c>
      <c r="H479">
        <v>1</v>
      </c>
      <c r="I479" t="s">
        <v>39</v>
      </c>
      <c r="J479" t="s">
        <v>47</v>
      </c>
      <c r="L479" t="s">
        <v>64</v>
      </c>
      <c r="M479" t="s">
        <v>42</v>
      </c>
      <c r="O479" t="s">
        <v>48</v>
      </c>
      <c r="P479" t="s">
        <v>49</v>
      </c>
      <c r="Q479" t="s">
        <v>45</v>
      </c>
      <c r="R479">
        <v>3.91</v>
      </c>
      <c r="S479">
        <v>175</v>
      </c>
      <c r="T479">
        <v>684.25</v>
      </c>
      <c r="U479">
        <v>46268.655147939811</v>
      </c>
      <c r="V479" t="s">
        <v>66</v>
      </c>
    </row>
    <row r="480" spans="1:22" x14ac:dyDescent="0.2">
      <c r="A480">
        <v>1000003887</v>
      </c>
      <c r="B480" t="s">
        <v>143</v>
      </c>
      <c r="C480">
        <v>1000001723</v>
      </c>
      <c r="D480" t="s">
        <v>144</v>
      </c>
      <c r="E480" t="s">
        <v>38</v>
      </c>
      <c r="F480">
        <v>2026</v>
      </c>
      <c r="G480">
        <v>7</v>
      </c>
      <c r="H480">
        <v>1</v>
      </c>
      <c r="I480" t="s">
        <v>39</v>
      </c>
      <c r="J480" t="s">
        <v>47</v>
      </c>
      <c r="L480" t="s">
        <v>54</v>
      </c>
      <c r="M480" t="s">
        <v>42</v>
      </c>
      <c r="O480" t="s">
        <v>48</v>
      </c>
      <c r="P480" t="s">
        <v>55</v>
      </c>
      <c r="Q480" t="s">
        <v>45</v>
      </c>
      <c r="R480">
        <v>0.45</v>
      </c>
      <c r="S480">
        <v>2107</v>
      </c>
      <c r="T480">
        <v>948.15</v>
      </c>
      <c r="U480">
        <v>46268.655147939811</v>
      </c>
      <c r="V480" t="s">
        <v>66</v>
      </c>
    </row>
    <row r="481" spans="1:22" x14ac:dyDescent="0.2">
      <c r="A481">
        <v>1000003887</v>
      </c>
      <c r="B481" t="s">
        <v>143</v>
      </c>
      <c r="C481">
        <v>1000001723</v>
      </c>
      <c r="D481" t="s">
        <v>144</v>
      </c>
      <c r="E481" t="s">
        <v>38</v>
      </c>
      <c r="F481">
        <v>2026</v>
      </c>
      <c r="G481">
        <v>7</v>
      </c>
      <c r="H481">
        <v>1</v>
      </c>
      <c r="I481" t="s">
        <v>39</v>
      </c>
      <c r="J481" t="s">
        <v>40</v>
      </c>
      <c r="L481" t="s">
        <v>64</v>
      </c>
      <c r="M481" t="s">
        <v>56</v>
      </c>
      <c r="O481" t="s">
        <v>67</v>
      </c>
      <c r="P481" t="s">
        <v>44</v>
      </c>
      <c r="Q481" t="s">
        <v>45</v>
      </c>
      <c r="R481">
        <v>0.3</v>
      </c>
      <c r="S481">
        <v>72</v>
      </c>
      <c r="T481">
        <v>21.6</v>
      </c>
      <c r="U481">
        <v>46268.655147939811</v>
      </c>
      <c r="V481" t="s">
        <v>58</v>
      </c>
    </row>
    <row r="482" spans="1:22" x14ac:dyDescent="0.2">
      <c r="A482">
        <v>1000003887</v>
      </c>
      <c r="B482" t="s">
        <v>143</v>
      </c>
      <c r="C482">
        <v>1000001723</v>
      </c>
      <c r="D482" t="s">
        <v>144</v>
      </c>
      <c r="E482" t="s">
        <v>38</v>
      </c>
      <c r="F482">
        <v>2026</v>
      </c>
      <c r="G482">
        <v>7</v>
      </c>
      <c r="H482">
        <v>1</v>
      </c>
      <c r="I482" t="s">
        <v>39</v>
      </c>
      <c r="J482" t="s">
        <v>40</v>
      </c>
      <c r="L482" t="s">
        <v>65</v>
      </c>
      <c r="M482" t="s">
        <v>56</v>
      </c>
      <c r="O482" t="s">
        <v>67</v>
      </c>
      <c r="P482" t="s">
        <v>44</v>
      </c>
      <c r="Q482" t="s">
        <v>45</v>
      </c>
      <c r="R482">
        <v>2.63</v>
      </c>
      <c r="S482">
        <v>307</v>
      </c>
      <c r="T482">
        <v>807.41</v>
      </c>
      <c r="U482">
        <v>46268.655147939811</v>
      </c>
      <c r="V482" t="s">
        <v>68</v>
      </c>
    </row>
    <row r="483" spans="1:22" x14ac:dyDescent="0.2">
      <c r="A483">
        <v>1000003887</v>
      </c>
      <c r="B483" t="s">
        <v>143</v>
      </c>
      <c r="C483">
        <v>1000001723</v>
      </c>
      <c r="D483" t="s">
        <v>144</v>
      </c>
      <c r="E483" t="s">
        <v>38</v>
      </c>
      <c r="F483">
        <v>2026</v>
      </c>
      <c r="G483">
        <v>7</v>
      </c>
      <c r="H483">
        <v>1</v>
      </c>
      <c r="I483" t="s">
        <v>39</v>
      </c>
      <c r="J483" t="s">
        <v>47</v>
      </c>
      <c r="L483" t="s">
        <v>41</v>
      </c>
      <c r="M483" t="s">
        <v>56</v>
      </c>
      <c r="O483" t="s">
        <v>57</v>
      </c>
      <c r="P483" t="s">
        <v>44</v>
      </c>
      <c r="Q483" t="s">
        <v>45</v>
      </c>
      <c r="R483">
        <v>0.125</v>
      </c>
      <c r="S483">
        <v>1185</v>
      </c>
      <c r="T483">
        <v>148.12</v>
      </c>
      <c r="U483">
        <v>46268.655147939811</v>
      </c>
      <c r="V483" t="s">
        <v>58</v>
      </c>
    </row>
    <row r="484" spans="1:22" x14ac:dyDescent="0.2">
      <c r="A484">
        <v>1000003887</v>
      </c>
      <c r="B484" t="s">
        <v>143</v>
      </c>
      <c r="C484">
        <v>1000001723</v>
      </c>
      <c r="D484" t="s">
        <v>144</v>
      </c>
      <c r="E484" t="s">
        <v>38</v>
      </c>
      <c r="F484">
        <v>2026</v>
      </c>
      <c r="G484">
        <v>7</v>
      </c>
      <c r="H484">
        <v>1</v>
      </c>
      <c r="I484" t="s">
        <v>39</v>
      </c>
      <c r="J484" t="s">
        <v>47</v>
      </c>
      <c r="L484" t="s">
        <v>64</v>
      </c>
      <c r="M484" t="s">
        <v>56</v>
      </c>
      <c r="O484" t="s">
        <v>57</v>
      </c>
      <c r="P484" t="s">
        <v>44</v>
      </c>
      <c r="Q484" t="s">
        <v>45</v>
      </c>
      <c r="R484">
        <v>0.52500000000000002</v>
      </c>
      <c r="S484">
        <v>175</v>
      </c>
      <c r="T484">
        <v>91.87</v>
      </c>
      <c r="U484">
        <v>46268.655147939811</v>
      </c>
      <c r="V484" t="s">
        <v>58</v>
      </c>
    </row>
    <row r="485" spans="1:22" x14ac:dyDescent="0.2">
      <c r="A485">
        <v>1000003887</v>
      </c>
      <c r="B485" t="s">
        <v>143</v>
      </c>
      <c r="C485">
        <v>1000001723</v>
      </c>
      <c r="D485" t="s">
        <v>144</v>
      </c>
      <c r="E485" t="s">
        <v>38</v>
      </c>
      <c r="F485">
        <v>2026</v>
      </c>
      <c r="G485">
        <v>7</v>
      </c>
      <c r="H485">
        <v>1</v>
      </c>
      <c r="I485" t="s">
        <v>39</v>
      </c>
      <c r="J485" t="s">
        <v>47</v>
      </c>
      <c r="L485" t="s">
        <v>65</v>
      </c>
      <c r="M485" t="s">
        <v>56</v>
      </c>
      <c r="O485" t="s">
        <v>57</v>
      </c>
      <c r="P485" t="s">
        <v>44</v>
      </c>
      <c r="Q485" t="s">
        <v>45</v>
      </c>
      <c r="R485">
        <v>4.4349999999999996</v>
      </c>
      <c r="S485">
        <v>747</v>
      </c>
      <c r="T485">
        <v>3312.94</v>
      </c>
      <c r="U485">
        <v>46268.655147939811</v>
      </c>
      <c r="V485" t="s">
        <v>58</v>
      </c>
    </row>
    <row r="486" spans="1:22" x14ac:dyDescent="0.2">
      <c r="A486">
        <v>2000010482</v>
      </c>
      <c r="B486" t="s">
        <v>145</v>
      </c>
      <c r="C486">
        <v>9000017450</v>
      </c>
      <c r="D486" t="s">
        <v>145</v>
      </c>
      <c r="E486" t="s">
        <v>38</v>
      </c>
      <c r="F486">
        <v>2026</v>
      </c>
      <c r="G486">
        <v>7</v>
      </c>
      <c r="H486">
        <v>0</v>
      </c>
      <c r="I486" t="s">
        <v>39</v>
      </c>
      <c r="J486" t="s">
        <v>40</v>
      </c>
      <c r="L486" t="s">
        <v>41</v>
      </c>
      <c r="M486" t="s">
        <v>42</v>
      </c>
      <c r="O486" t="s">
        <v>43</v>
      </c>
      <c r="P486" t="s">
        <v>44</v>
      </c>
      <c r="Q486" t="s">
        <v>45</v>
      </c>
      <c r="R486">
        <v>3.05</v>
      </c>
      <c r="S486">
        <v>251</v>
      </c>
      <c r="T486">
        <v>765.55</v>
      </c>
      <c r="U486">
        <v>46268.655147939811</v>
      </c>
      <c r="V486" t="s">
        <v>46</v>
      </c>
    </row>
    <row r="487" spans="1:22" x14ac:dyDescent="0.2">
      <c r="A487">
        <v>2000010482</v>
      </c>
      <c r="B487" t="s">
        <v>145</v>
      </c>
      <c r="C487">
        <v>9000017450</v>
      </c>
      <c r="D487" t="s">
        <v>145</v>
      </c>
      <c r="E487" t="s">
        <v>38</v>
      </c>
      <c r="F487">
        <v>2026</v>
      </c>
      <c r="G487">
        <v>7</v>
      </c>
      <c r="H487">
        <v>0</v>
      </c>
      <c r="I487" t="s">
        <v>39</v>
      </c>
      <c r="J487" t="s">
        <v>40</v>
      </c>
      <c r="L487" t="s">
        <v>64</v>
      </c>
      <c r="M487" t="s">
        <v>42</v>
      </c>
      <c r="O487" t="s">
        <v>43</v>
      </c>
      <c r="P487" t="s">
        <v>44</v>
      </c>
      <c r="Q487" t="s">
        <v>45</v>
      </c>
      <c r="R487">
        <v>2.75</v>
      </c>
      <c r="S487">
        <v>78</v>
      </c>
      <c r="T487">
        <v>214.5</v>
      </c>
      <c r="U487">
        <v>46268.655147939811</v>
      </c>
      <c r="V487" t="s">
        <v>46</v>
      </c>
    </row>
    <row r="488" spans="1:22" x14ac:dyDescent="0.2">
      <c r="A488">
        <v>2000010482</v>
      </c>
      <c r="B488" t="s">
        <v>145</v>
      </c>
      <c r="C488">
        <v>9000017450</v>
      </c>
      <c r="D488" t="s">
        <v>145</v>
      </c>
      <c r="E488" t="s">
        <v>38</v>
      </c>
      <c r="F488">
        <v>2026</v>
      </c>
      <c r="G488">
        <v>7</v>
      </c>
      <c r="H488">
        <v>0</v>
      </c>
      <c r="I488" t="s">
        <v>39</v>
      </c>
      <c r="J488" t="s">
        <v>40</v>
      </c>
      <c r="L488" t="s">
        <v>65</v>
      </c>
      <c r="M488" t="s">
        <v>42</v>
      </c>
      <c r="O488" t="s">
        <v>43</v>
      </c>
      <c r="P488" t="s">
        <v>44</v>
      </c>
      <c r="Q488" t="s">
        <v>45</v>
      </c>
      <c r="R488">
        <v>0.42</v>
      </c>
      <c r="S488">
        <v>234</v>
      </c>
      <c r="T488">
        <v>98.28</v>
      </c>
      <c r="U488">
        <v>46268.655147939811</v>
      </c>
      <c r="V488" t="s">
        <v>46</v>
      </c>
    </row>
    <row r="489" spans="1:22" x14ac:dyDescent="0.2">
      <c r="A489">
        <v>2000010482</v>
      </c>
      <c r="B489" t="s">
        <v>145</v>
      </c>
      <c r="C489">
        <v>9000017450</v>
      </c>
      <c r="D489" t="s">
        <v>145</v>
      </c>
      <c r="E489" t="s">
        <v>38</v>
      </c>
      <c r="F489">
        <v>2026</v>
      </c>
      <c r="G489">
        <v>7</v>
      </c>
      <c r="H489">
        <v>0</v>
      </c>
      <c r="I489" t="s">
        <v>39</v>
      </c>
      <c r="J489" t="s">
        <v>47</v>
      </c>
      <c r="L489" t="s">
        <v>41</v>
      </c>
      <c r="M489" t="s">
        <v>42</v>
      </c>
      <c r="O489" t="s">
        <v>48</v>
      </c>
      <c r="P489" t="s">
        <v>49</v>
      </c>
      <c r="Q489" t="s">
        <v>45</v>
      </c>
      <c r="R489">
        <v>4.3099999999999996</v>
      </c>
      <c r="S489">
        <v>314</v>
      </c>
      <c r="T489">
        <v>1353.34</v>
      </c>
      <c r="U489">
        <v>46268.655147939811</v>
      </c>
      <c r="V489" t="s">
        <v>50</v>
      </c>
    </row>
    <row r="490" spans="1:22" x14ac:dyDescent="0.2">
      <c r="A490">
        <v>2000010482</v>
      </c>
      <c r="B490" t="s">
        <v>145</v>
      </c>
      <c r="C490">
        <v>9000017450</v>
      </c>
      <c r="D490" t="s">
        <v>145</v>
      </c>
      <c r="E490" t="s">
        <v>38</v>
      </c>
      <c r="F490">
        <v>2026</v>
      </c>
      <c r="G490">
        <v>7</v>
      </c>
      <c r="H490">
        <v>0</v>
      </c>
      <c r="I490" t="s">
        <v>39</v>
      </c>
      <c r="J490" t="s">
        <v>47</v>
      </c>
      <c r="L490" t="s">
        <v>51</v>
      </c>
      <c r="M490" t="s">
        <v>42</v>
      </c>
      <c r="O490" t="s">
        <v>48</v>
      </c>
      <c r="P490" t="s">
        <v>52</v>
      </c>
      <c r="Q490" t="s">
        <v>45</v>
      </c>
      <c r="R490">
        <v>0.09</v>
      </c>
      <c r="S490">
        <v>707</v>
      </c>
      <c r="T490">
        <v>63.63</v>
      </c>
      <c r="U490">
        <v>46268.655147939811</v>
      </c>
      <c r="V490" t="s">
        <v>53</v>
      </c>
    </row>
    <row r="491" spans="1:22" x14ac:dyDescent="0.2">
      <c r="A491">
        <v>2000010482</v>
      </c>
      <c r="B491" t="s">
        <v>145</v>
      </c>
      <c r="C491">
        <v>9000017450</v>
      </c>
      <c r="D491" t="s">
        <v>145</v>
      </c>
      <c r="E491" t="s">
        <v>38</v>
      </c>
      <c r="F491">
        <v>2026</v>
      </c>
      <c r="G491">
        <v>7</v>
      </c>
      <c r="H491">
        <v>0</v>
      </c>
      <c r="I491" t="s">
        <v>39</v>
      </c>
      <c r="J491" t="s">
        <v>47</v>
      </c>
      <c r="L491" t="s">
        <v>64</v>
      </c>
      <c r="M491" t="s">
        <v>42</v>
      </c>
      <c r="O491" t="s">
        <v>48</v>
      </c>
      <c r="P491" t="s">
        <v>49</v>
      </c>
      <c r="Q491" t="s">
        <v>45</v>
      </c>
      <c r="R491">
        <v>3.91</v>
      </c>
      <c r="S491">
        <v>103</v>
      </c>
      <c r="T491">
        <v>402.73</v>
      </c>
      <c r="U491">
        <v>46268.655147939811</v>
      </c>
      <c r="V491" t="s">
        <v>50</v>
      </c>
    </row>
    <row r="492" spans="1:22" x14ac:dyDescent="0.2">
      <c r="A492">
        <v>2000010482</v>
      </c>
      <c r="B492" t="s">
        <v>145</v>
      </c>
      <c r="C492">
        <v>9000017450</v>
      </c>
      <c r="D492" t="s">
        <v>145</v>
      </c>
      <c r="E492" t="s">
        <v>38</v>
      </c>
      <c r="F492">
        <v>2026</v>
      </c>
      <c r="G492">
        <v>7</v>
      </c>
      <c r="H492">
        <v>0</v>
      </c>
      <c r="I492" t="s">
        <v>39</v>
      </c>
      <c r="J492" t="s">
        <v>47</v>
      </c>
      <c r="L492" t="s">
        <v>54</v>
      </c>
      <c r="M492" t="s">
        <v>42</v>
      </c>
      <c r="O492" t="s">
        <v>48</v>
      </c>
      <c r="P492" t="s">
        <v>55</v>
      </c>
      <c r="Q492" t="s">
        <v>45</v>
      </c>
      <c r="R492">
        <v>0.47</v>
      </c>
      <c r="S492">
        <v>707</v>
      </c>
      <c r="T492">
        <v>332.29</v>
      </c>
      <c r="U492">
        <v>46268.655147939811</v>
      </c>
      <c r="V492" t="s">
        <v>50</v>
      </c>
    </row>
    <row r="493" spans="1:22" x14ac:dyDescent="0.2">
      <c r="A493">
        <v>2000010482</v>
      </c>
      <c r="B493" t="s">
        <v>145</v>
      </c>
      <c r="C493">
        <v>9000017450</v>
      </c>
      <c r="D493" t="s">
        <v>145</v>
      </c>
      <c r="E493" t="s">
        <v>38</v>
      </c>
      <c r="F493">
        <v>2026</v>
      </c>
      <c r="G493">
        <v>7</v>
      </c>
      <c r="H493">
        <v>0</v>
      </c>
      <c r="I493" t="s">
        <v>39</v>
      </c>
      <c r="J493" t="s">
        <v>40</v>
      </c>
      <c r="L493" t="s">
        <v>64</v>
      </c>
      <c r="M493" t="s">
        <v>56</v>
      </c>
      <c r="O493" t="s">
        <v>67</v>
      </c>
      <c r="P493" t="s">
        <v>44</v>
      </c>
      <c r="Q493" t="s">
        <v>45</v>
      </c>
      <c r="R493">
        <v>0.3</v>
      </c>
      <c r="S493">
        <v>78</v>
      </c>
      <c r="T493">
        <v>23.4</v>
      </c>
      <c r="U493">
        <v>46268.655147939811</v>
      </c>
      <c r="V493" t="s">
        <v>58</v>
      </c>
    </row>
    <row r="494" spans="1:22" x14ac:dyDescent="0.2">
      <c r="A494">
        <v>2000010482</v>
      </c>
      <c r="B494" t="s">
        <v>145</v>
      </c>
      <c r="C494">
        <v>9000017450</v>
      </c>
      <c r="D494" t="s">
        <v>145</v>
      </c>
      <c r="E494" t="s">
        <v>38</v>
      </c>
      <c r="F494">
        <v>2026</v>
      </c>
      <c r="G494">
        <v>7</v>
      </c>
      <c r="H494">
        <v>0</v>
      </c>
      <c r="I494" t="s">
        <v>39</v>
      </c>
      <c r="J494" t="s">
        <v>40</v>
      </c>
      <c r="L494" t="s">
        <v>65</v>
      </c>
      <c r="M494" t="s">
        <v>56</v>
      </c>
      <c r="O494" t="s">
        <v>67</v>
      </c>
      <c r="P494" t="s">
        <v>44</v>
      </c>
      <c r="Q494" t="s">
        <v>45</v>
      </c>
      <c r="R494">
        <v>2.63</v>
      </c>
      <c r="S494">
        <v>234</v>
      </c>
      <c r="T494">
        <v>615.41999999999996</v>
      </c>
      <c r="U494">
        <v>46268.655147939811</v>
      </c>
      <c r="V494" t="s">
        <v>68</v>
      </c>
    </row>
    <row r="495" spans="1:22" x14ac:dyDescent="0.2">
      <c r="A495">
        <v>2000010482</v>
      </c>
      <c r="B495" t="s">
        <v>145</v>
      </c>
      <c r="C495">
        <v>9000017450</v>
      </c>
      <c r="D495" t="s">
        <v>145</v>
      </c>
      <c r="E495" t="s">
        <v>38</v>
      </c>
      <c r="F495">
        <v>2026</v>
      </c>
      <c r="G495">
        <v>7</v>
      </c>
      <c r="H495">
        <v>0</v>
      </c>
      <c r="I495" t="s">
        <v>39</v>
      </c>
      <c r="J495" t="s">
        <v>47</v>
      </c>
      <c r="L495" t="s">
        <v>41</v>
      </c>
      <c r="M495" t="s">
        <v>56</v>
      </c>
      <c r="O495" t="s">
        <v>57</v>
      </c>
      <c r="P495" t="s">
        <v>44</v>
      </c>
      <c r="Q495" t="s">
        <v>45</v>
      </c>
      <c r="R495">
        <v>0.125</v>
      </c>
      <c r="S495">
        <v>314</v>
      </c>
      <c r="T495">
        <v>39.25</v>
      </c>
      <c r="U495">
        <v>46268.655147939811</v>
      </c>
      <c r="V495" t="s">
        <v>58</v>
      </c>
    </row>
    <row r="496" spans="1:22" x14ac:dyDescent="0.2">
      <c r="A496">
        <v>2000010482</v>
      </c>
      <c r="B496" t="s">
        <v>145</v>
      </c>
      <c r="C496">
        <v>9000017450</v>
      </c>
      <c r="D496" t="s">
        <v>145</v>
      </c>
      <c r="E496" t="s">
        <v>38</v>
      </c>
      <c r="F496">
        <v>2026</v>
      </c>
      <c r="G496">
        <v>7</v>
      </c>
      <c r="H496">
        <v>0</v>
      </c>
      <c r="I496" t="s">
        <v>39</v>
      </c>
      <c r="J496" t="s">
        <v>47</v>
      </c>
      <c r="L496" t="s">
        <v>64</v>
      </c>
      <c r="M496" t="s">
        <v>56</v>
      </c>
      <c r="O496" t="s">
        <v>57</v>
      </c>
      <c r="P496" t="s">
        <v>44</v>
      </c>
      <c r="Q496" t="s">
        <v>45</v>
      </c>
      <c r="R496">
        <v>0.52500000000000002</v>
      </c>
      <c r="S496">
        <v>103</v>
      </c>
      <c r="T496">
        <v>54.07</v>
      </c>
      <c r="U496">
        <v>46268.655147939811</v>
      </c>
      <c r="V496" t="s">
        <v>58</v>
      </c>
    </row>
    <row r="497" spans="1:22" x14ac:dyDescent="0.2">
      <c r="A497">
        <v>2000010482</v>
      </c>
      <c r="B497" t="s">
        <v>145</v>
      </c>
      <c r="C497">
        <v>9000017450</v>
      </c>
      <c r="D497" t="s">
        <v>145</v>
      </c>
      <c r="E497" t="s">
        <v>38</v>
      </c>
      <c r="F497">
        <v>2026</v>
      </c>
      <c r="G497">
        <v>7</v>
      </c>
      <c r="H497">
        <v>0</v>
      </c>
      <c r="I497" t="s">
        <v>39</v>
      </c>
      <c r="J497" t="s">
        <v>47</v>
      </c>
      <c r="L497" t="s">
        <v>65</v>
      </c>
      <c r="M497" t="s">
        <v>56</v>
      </c>
      <c r="O497" t="s">
        <v>57</v>
      </c>
      <c r="P497" t="s">
        <v>44</v>
      </c>
      <c r="Q497" t="s">
        <v>45</v>
      </c>
      <c r="R497">
        <v>4.4349999999999996</v>
      </c>
      <c r="S497">
        <v>290</v>
      </c>
      <c r="T497">
        <v>1286.1500000000001</v>
      </c>
      <c r="U497">
        <v>46268.655147939811</v>
      </c>
      <c r="V497" t="s">
        <v>58</v>
      </c>
    </row>
    <row r="498" spans="1:22" x14ac:dyDescent="0.2">
      <c r="A498">
        <v>1000004376</v>
      </c>
      <c r="B498" t="s">
        <v>146</v>
      </c>
      <c r="C498">
        <v>9000016676</v>
      </c>
      <c r="D498" t="s">
        <v>147</v>
      </c>
      <c r="E498" t="s">
        <v>38</v>
      </c>
      <c r="F498">
        <v>2026</v>
      </c>
      <c r="G498">
        <v>7</v>
      </c>
      <c r="H498">
        <v>0</v>
      </c>
      <c r="I498" t="s">
        <v>39</v>
      </c>
      <c r="J498" t="s">
        <v>40</v>
      </c>
      <c r="L498" t="s">
        <v>41</v>
      </c>
      <c r="M498" t="s">
        <v>42</v>
      </c>
      <c r="O498" t="s">
        <v>43</v>
      </c>
      <c r="P498" t="s">
        <v>44</v>
      </c>
      <c r="Q498" t="s">
        <v>45</v>
      </c>
      <c r="R498">
        <v>3.05</v>
      </c>
      <c r="S498">
        <v>225</v>
      </c>
      <c r="T498">
        <v>686.25</v>
      </c>
      <c r="U498">
        <v>46268.655147939811</v>
      </c>
      <c r="V498" t="s">
        <v>46</v>
      </c>
    </row>
    <row r="499" spans="1:22" x14ac:dyDescent="0.2">
      <c r="A499">
        <v>1000004376</v>
      </c>
      <c r="B499" t="s">
        <v>146</v>
      </c>
      <c r="C499">
        <v>9000016676</v>
      </c>
      <c r="D499" t="s">
        <v>147</v>
      </c>
      <c r="E499" t="s">
        <v>38</v>
      </c>
      <c r="F499">
        <v>2026</v>
      </c>
      <c r="G499">
        <v>7</v>
      </c>
      <c r="H499">
        <v>0</v>
      </c>
      <c r="I499" t="s">
        <v>39</v>
      </c>
      <c r="J499" t="s">
        <v>47</v>
      </c>
      <c r="L499" t="s">
        <v>41</v>
      </c>
      <c r="M499" t="s">
        <v>42</v>
      </c>
      <c r="O499" t="s">
        <v>48</v>
      </c>
      <c r="P499" t="s">
        <v>49</v>
      </c>
      <c r="Q499" t="s">
        <v>45</v>
      </c>
      <c r="R499">
        <v>4.3099999999999996</v>
      </c>
      <c r="S499">
        <v>219</v>
      </c>
      <c r="T499">
        <v>943.89</v>
      </c>
      <c r="U499">
        <v>46268.655147939811</v>
      </c>
      <c r="V499" t="s">
        <v>50</v>
      </c>
    </row>
    <row r="500" spans="1:22" x14ac:dyDescent="0.2">
      <c r="A500">
        <v>1000004376</v>
      </c>
      <c r="B500" t="s">
        <v>146</v>
      </c>
      <c r="C500">
        <v>9000016676</v>
      </c>
      <c r="D500" t="s">
        <v>147</v>
      </c>
      <c r="E500" t="s">
        <v>38</v>
      </c>
      <c r="F500">
        <v>2026</v>
      </c>
      <c r="G500">
        <v>7</v>
      </c>
      <c r="H500">
        <v>0</v>
      </c>
      <c r="I500" t="s">
        <v>39</v>
      </c>
      <c r="J500" t="s">
        <v>47</v>
      </c>
      <c r="L500" t="s">
        <v>51</v>
      </c>
      <c r="M500" t="s">
        <v>42</v>
      </c>
      <c r="O500" t="s">
        <v>48</v>
      </c>
      <c r="P500" t="s">
        <v>52</v>
      </c>
      <c r="Q500" t="s">
        <v>45</v>
      </c>
      <c r="R500">
        <v>0.09</v>
      </c>
      <c r="S500">
        <v>219</v>
      </c>
      <c r="T500">
        <v>19.71</v>
      </c>
      <c r="U500">
        <v>46268.655147939811</v>
      </c>
      <c r="V500" t="s">
        <v>53</v>
      </c>
    </row>
    <row r="501" spans="1:22" x14ac:dyDescent="0.2">
      <c r="A501">
        <v>1000004376</v>
      </c>
      <c r="B501" t="s">
        <v>146</v>
      </c>
      <c r="C501">
        <v>9000016676</v>
      </c>
      <c r="D501" t="s">
        <v>147</v>
      </c>
      <c r="E501" t="s">
        <v>38</v>
      </c>
      <c r="F501">
        <v>2026</v>
      </c>
      <c r="G501">
        <v>7</v>
      </c>
      <c r="H501">
        <v>0</v>
      </c>
      <c r="I501" t="s">
        <v>39</v>
      </c>
      <c r="J501" t="s">
        <v>47</v>
      </c>
      <c r="L501" t="s">
        <v>54</v>
      </c>
      <c r="M501" t="s">
        <v>42</v>
      </c>
      <c r="O501" t="s">
        <v>48</v>
      </c>
      <c r="P501" t="s">
        <v>55</v>
      </c>
      <c r="Q501" t="s">
        <v>45</v>
      </c>
      <c r="R501">
        <v>0.47</v>
      </c>
      <c r="S501">
        <v>219</v>
      </c>
      <c r="T501">
        <v>102.93</v>
      </c>
      <c r="U501">
        <v>46268.655147939811</v>
      </c>
      <c r="V501" t="s">
        <v>50</v>
      </c>
    </row>
    <row r="502" spans="1:22" x14ac:dyDescent="0.2">
      <c r="A502">
        <v>1000004376</v>
      </c>
      <c r="B502" t="s">
        <v>146</v>
      </c>
      <c r="C502">
        <v>9000016676</v>
      </c>
      <c r="D502" t="s">
        <v>147</v>
      </c>
      <c r="E502" t="s">
        <v>38</v>
      </c>
      <c r="F502">
        <v>2026</v>
      </c>
      <c r="G502">
        <v>7</v>
      </c>
      <c r="H502">
        <v>0</v>
      </c>
      <c r="I502" t="s">
        <v>39</v>
      </c>
      <c r="J502" t="s">
        <v>47</v>
      </c>
      <c r="L502" t="s">
        <v>41</v>
      </c>
      <c r="M502" t="s">
        <v>56</v>
      </c>
      <c r="O502" t="s">
        <v>57</v>
      </c>
      <c r="P502" t="s">
        <v>44</v>
      </c>
      <c r="Q502" t="s">
        <v>45</v>
      </c>
      <c r="R502">
        <v>0.125</v>
      </c>
      <c r="S502">
        <v>219</v>
      </c>
      <c r="T502">
        <v>27.37</v>
      </c>
      <c r="U502">
        <v>46268.655147939811</v>
      </c>
      <c r="V502" t="s">
        <v>58</v>
      </c>
    </row>
    <row r="503" spans="1:22" x14ac:dyDescent="0.2">
      <c r="A503">
        <v>1000004376</v>
      </c>
      <c r="B503" t="s">
        <v>146</v>
      </c>
      <c r="C503">
        <v>1000003205</v>
      </c>
      <c r="D503" t="s">
        <v>148</v>
      </c>
      <c r="E503" t="s">
        <v>38</v>
      </c>
      <c r="F503">
        <v>2026</v>
      </c>
      <c r="G503">
        <v>7</v>
      </c>
      <c r="H503">
        <v>0</v>
      </c>
      <c r="I503" t="s">
        <v>39</v>
      </c>
      <c r="J503" t="s">
        <v>40</v>
      </c>
      <c r="L503" t="s">
        <v>41</v>
      </c>
      <c r="M503" t="s">
        <v>42</v>
      </c>
      <c r="O503" t="s">
        <v>43</v>
      </c>
      <c r="P503" t="s">
        <v>44</v>
      </c>
      <c r="Q503" t="s">
        <v>45</v>
      </c>
      <c r="R503">
        <v>3.05</v>
      </c>
      <c r="S503">
        <v>875</v>
      </c>
      <c r="T503">
        <v>2668.75</v>
      </c>
      <c r="U503">
        <v>46268.655147939811</v>
      </c>
      <c r="V503" t="s">
        <v>46</v>
      </c>
    </row>
    <row r="504" spans="1:22" x14ac:dyDescent="0.2">
      <c r="A504">
        <v>1000004376</v>
      </c>
      <c r="B504" t="s">
        <v>146</v>
      </c>
      <c r="C504">
        <v>1000003205</v>
      </c>
      <c r="D504" t="s">
        <v>148</v>
      </c>
      <c r="E504" t="s">
        <v>38</v>
      </c>
      <c r="F504">
        <v>2026</v>
      </c>
      <c r="G504">
        <v>7</v>
      </c>
      <c r="H504">
        <v>0</v>
      </c>
      <c r="I504" t="s">
        <v>39</v>
      </c>
      <c r="J504" t="s">
        <v>47</v>
      </c>
      <c r="L504" t="s">
        <v>41</v>
      </c>
      <c r="M504" t="s">
        <v>42</v>
      </c>
      <c r="O504" t="s">
        <v>48</v>
      </c>
      <c r="P504" t="s">
        <v>49</v>
      </c>
      <c r="Q504" t="s">
        <v>45</v>
      </c>
      <c r="R504">
        <v>4.3099999999999996</v>
      </c>
      <c r="S504">
        <v>850</v>
      </c>
      <c r="T504">
        <v>3663.5</v>
      </c>
      <c r="U504">
        <v>46268.655147939811</v>
      </c>
      <c r="V504" t="s">
        <v>50</v>
      </c>
    </row>
    <row r="505" spans="1:22" x14ac:dyDescent="0.2">
      <c r="A505">
        <v>1000004376</v>
      </c>
      <c r="B505" t="s">
        <v>146</v>
      </c>
      <c r="C505">
        <v>1000003205</v>
      </c>
      <c r="D505" t="s">
        <v>148</v>
      </c>
      <c r="E505" t="s">
        <v>38</v>
      </c>
      <c r="F505">
        <v>2026</v>
      </c>
      <c r="G505">
        <v>7</v>
      </c>
      <c r="H505">
        <v>0</v>
      </c>
      <c r="I505" t="s">
        <v>39</v>
      </c>
      <c r="J505" t="s">
        <v>47</v>
      </c>
      <c r="L505" t="s">
        <v>51</v>
      </c>
      <c r="M505" t="s">
        <v>42</v>
      </c>
      <c r="O505" t="s">
        <v>48</v>
      </c>
      <c r="P505" t="s">
        <v>52</v>
      </c>
      <c r="Q505" t="s">
        <v>45</v>
      </c>
      <c r="R505">
        <v>0.09</v>
      </c>
      <c r="S505">
        <v>850</v>
      </c>
      <c r="T505">
        <v>76.5</v>
      </c>
      <c r="U505">
        <v>46268.655147939811</v>
      </c>
      <c r="V505" t="s">
        <v>53</v>
      </c>
    </row>
    <row r="506" spans="1:22" x14ac:dyDescent="0.2">
      <c r="A506">
        <v>1000004376</v>
      </c>
      <c r="B506" t="s">
        <v>146</v>
      </c>
      <c r="C506">
        <v>1000003205</v>
      </c>
      <c r="D506" t="s">
        <v>148</v>
      </c>
      <c r="E506" t="s">
        <v>38</v>
      </c>
      <c r="F506">
        <v>2026</v>
      </c>
      <c r="G506">
        <v>7</v>
      </c>
      <c r="H506">
        <v>0</v>
      </c>
      <c r="I506" t="s">
        <v>39</v>
      </c>
      <c r="J506" t="s">
        <v>47</v>
      </c>
      <c r="L506" t="s">
        <v>54</v>
      </c>
      <c r="M506" t="s">
        <v>42</v>
      </c>
      <c r="O506" t="s">
        <v>48</v>
      </c>
      <c r="P506" t="s">
        <v>55</v>
      </c>
      <c r="Q506" t="s">
        <v>45</v>
      </c>
      <c r="R506">
        <v>0.47</v>
      </c>
      <c r="S506">
        <v>850</v>
      </c>
      <c r="T506">
        <v>399.5</v>
      </c>
      <c r="U506">
        <v>46268.655147939811</v>
      </c>
      <c r="V506" t="s">
        <v>50</v>
      </c>
    </row>
    <row r="507" spans="1:22" x14ac:dyDescent="0.2">
      <c r="A507">
        <v>1000004376</v>
      </c>
      <c r="B507" t="s">
        <v>146</v>
      </c>
      <c r="C507">
        <v>1000003205</v>
      </c>
      <c r="D507" t="s">
        <v>148</v>
      </c>
      <c r="E507" t="s">
        <v>38</v>
      </c>
      <c r="F507">
        <v>2026</v>
      </c>
      <c r="G507">
        <v>7</v>
      </c>
      <c r="H507">
        <v>0</v>
      </c>
      <c r="I507" t="s">
        <v>39</v>
      </c>
      <c r="J507" t="s">
        <v>47</v>
      </c>
      <c r="L507" t="s">
        <v>41</v>
      </c>
      <c r="M507" t="s">
        <v>56</v>
      </c>
      <c r="O507" t="s">
        <v>57</v>
      </c>
      <c r="P507" t="s">
        <v>44</v>
      </c>
      <c r="Q507" t="s">
        <v>45</v>
      </c>
      <c r="R507">
        <v>0.125</v>
      </c>
      <c r="S507">
        <v>850</v>
      </c>
      <c r="T507">
        <v>106.25</v>
      </c>
      <c r="U507">
        <v>46268.655147939811</v>
      </c>
      <c r="V507" t="s">
        <v>58</v>
      </c>
    </row>
    <row r="508" spans="1:22" x14ac:dyDescent="0.2">
      <c r="A508">
        <v>1000003888</v>
      </c>
      <c r="B508" t="s">
        <v>149</v>
      </c>
      <c r="C508">
        <v>1000001733</v>
      </c>
      <c r="D508" t="s">
        <v>150</v>
      </c>
      <c r="E508" t="s">
        <v>38</v>
      </c>
      <c r="F508">
        <v>2026</v>
      </c>
      <c r="G508">
        <v>7</v>
      </c>
      <c r="H508">
        <v>0</v>
      </c>
      <c r="I508" t="s">
        <v>39</v>
      </c>
      <c r="J508" t="s">
        <v>40</v>
      </c>
      <c r="L508" t="s">
        <v>41</v>
      </c>
      <c r="M508" t="s">
        <v>42</v>
      </c>
      <c r="O508" t="s">
        <v>43</v>
      </c>
      <c r="P508" t="s">
        <v>44</v>
      </c>
      <c r="Q508" t="s">
        <v>45</v>
      </c>
      <c r="R508">
        <v>2.54</v>
      </c>
      <c r="S508">
        <v>523</v>
      </c>
      <c r="T508">
        <v>1328.42</v>
      </c>
      <c r="U508">
        <v>46268.655147939811</v>
      </c>
      <c r="V508" t="s">
        <v>72</v>
      </c>
    </row>
    <row r="509" spans="1:22" x14ac:dyDescent="0.2">
      <c r="A509">
        <v>1000003888</v>
      </c>
      <c r="B509" t="s">
        <v>149</v>
      </c>
      <c r="C509">
        <v>1000001733</v>
      </c>
      <c r="D509" t="s">
        <v>150</v>
      </c>
      <c r="E509" t="s">
        <v>38</v>
      </c>
      <c r="F509">
        <v>2026</v>
      </c>
      <c r="G509">
        <v>7</v>
      </c>
      <c r="H509">
        <v>0</v>
      </c>
      <c r="I509" t="s">
        <v>39</v>
      </c>
      <c r="J509" t="s">
        <v>40</v>
      </c>
      <c r="L509" t="s">
        <v>64</v>
      </c>
      <c r="M509" t="s">
        <v>42</v>
      </c>
      <c r="O509" t="s">
        <v>43</v>
      </c>
      <c r="P509" t="s">
        <v>44</v>
      </c>
      <c r="Q509" t="s">
        <v>45</v>
      </c>
      <c r="R509">
        <v>2.2400000000000002</v>
      </c>
      <c r="S509">
        <v>104</v>
      </c>
      <c r="T509">
        <v>232.96</v>
      </c>
      <c r="U509">
        <v>46268.655147939811</v>
      </c>
      <c r="V509" t="s">
        <v>72</v>
      </c>
    </row>
    <row r="510" spans="1:22" x14ac:dyDescent="0.2">
      <c r="A510">
        <v>1000003888</v>
      </c>
      <c r="B510" t="s">
        <v>149</v>
      </c>
      <c r="C510">
        <v>1000001733</v>
      </c>
      <c r="D510" t="s">
        <v>150</v>
      </c>
      <c r="E510" t="s">
        <v>38</v>
      </c>
      <c r="F510">
        <v>2026</v>
      </c>
      <c r="G510">
        <v>7</v>
      </c>
      <c r="H510">
        <v>0</v>
      </c>
      <c r="I510" t="s">
        <v>39</v>
      </c>
      <c r="J510" t="s">
        <v>40</v>
      </c>
      <c r="L510" t="s">
        <v>65</v>
      </c>
      <c r="M510" t="s">
        <v>42</v>
      </c>
      <c r="O510" t="s">
        <v>43</v>
      </c>
      <c r="P510" t="s">
        <v>44</v>
      </c>
      <c r="Q510" t="s">
        <v>45</v>
      </c>
      <c r="R510">
        <v>0.42</v>
      </c>
      <c r="S510">
        <v>806</v>
      </c>
      <c r="T510">
        <v>338.52</v>
      </c>
      <c r="U510">
        <v>46268.655147939811</v>
      </c>
      <c r="V510" t="s">
        <v>72</v>
      </c>
    </row>
    <row r="511" spans="1:22" x14ac:dyDescent="0.2">
      <c r="A511">
        <v>1000003888</v>
      </c>
      <c r="B511" t="s">
        <v>149</v>
      </c>
      <c r="C511">
        <v>1000001733</v>
      </c>
      <c r="D511" t="s">
        <v>150</v>
      </c>
      <c r="E511" t="s">
        <v>38</v>
      </c>
      <c r="F511">
        <v>2026</v>
      </c>
      <c r="G511">
        <v>7</v>
      </c>
      <c r="H511">
        <v>0</v>
      </c>
      <c r="I511" t="s">
        <v>39</v>
      </c>
      <c r="J511" t="s">
        <v>47</v>
      </c>
      <c r="L511" t="s">
        <v>41</v>
      </c>
      <c r="M511" t="s">
        <v>42</v>
      </c>
      <c r="O511" t="s">
        <v>48</v>
      </c>
      <c r="P511" t="s">
        <v>49</v>
      </c>
      <c r="Q511" t="s">
        <v>45</v>
      </c>
      <c r="R511">
        <v>4.3099999999999996</v>
      </c>
      <c r="S511">
        <v>833</v>
      </c>
      <c r="T511">
        <v>3590.23</v>
      </c>
      <c r="U511">
        <v>46268.655147939811</v>
      </c>
      <c r="V511" t="s">
        <v>66</v>
      </c>
    </row>
    <row r="512" spans="1:22" x14ac:dyDescent="0.2">
      <c r="A512">
        <v>1000003888</v>
      </c>
      <c r="B512" t="s">
        <v>149</v>
      </c>
      <c r="C512">
        <v>1000001733</v>
      </c>
      <c r="D512" t="s">
        <v>150</v>
      </c>
      <c r="E512" t="s">
        <v>38</v>
      </c>
      <c r="F512">
        <v>2026</v>
      </c>
      <c r="G512">
        <v>7</v>
      </c>
      <c r="H512">
        <v>0</v>
      </c>
      <c r="I512" t="s">
        <v>39</v>
      </c>
      <c r="J512" t="s">
        <v>47</v>
      </c>
      <c r="L512" t="s">
        <v>51</v>
      </c>
      <c r="M512" t="s">
        <v>42</v>
      </c>
      <c r="O512" t="s">
        <v>48</v>
      </c>
      <c r="P512" t="s">
        <v>52</v>
      </c>
      <c r="Q512" t="s">
        <v>45</v>
      </c>
      <c r="R512">
        <v>0.09</v>
      </c>
      <c r="S512">
        <v>2676</v>
      </c>
      <c r="T512">
        <v>240.84</v>
      </c>
      <c r="U512">
        <v>46268.655147939811</v>
      </c>
      <c r="V512" t="s">
        <v>53</v>
      </c>
    </row>
    <row r="513" spans="1:22" x14ac:dyDescent="0.2">
      <c r="A513">
        <v>1000003888</v>
      </c>
      <c r="B513" t="s">
        <v>149</v>
      </c>
      <c r="C513">
        <v>1000001733</v>
      </c>
      <c r="D513" t="s">
        <v>150</v>
      </c>
      <c r="E513" t="s">
        <v>38</v>
      </c>
      <c r="F513">
        <v>2026</v>
      </c>
      <c r="G513">
        <v>7</v>
      </c>
      <c r="H513">
        <v>0</v>
      </c>
      <c r="I513" t="s">
        <v>39</v>
      </c>
      <c r="J513" t="s">
        <v>47</v>
      </c>
      <c r="L513" t="s">
        <v>64</v>
      </c>
      <c r="M513" t="s">
        <v>42</v>
      </c>
      <c r="O513" t="s">
        <v>48</v>
      </c>
      <c r="P513" t="s">
        <v>49</v>
      </c>
      <c r="Q513" t="s">
        <v>45</v>
      </c>
      <c r="R513">
        <v>3.91</v>
      </c>
      <c r="S513">
        <v>166</v>
      </c>
      <c r="T513">
        <v>649.05999999999995</v>
      </c>
      <c r="U513">
        <v>46268.655147939811</v>
      </c>
      <c r="V513" t="s">
        <v>66</v>
      </c>
    </row>
    <row r="514" spans="1:22" x14ac:dyDescent="0.2">
      <c r="A514">
        <v>1000003888</v>
      </c>
      <c r="B514" t="s">
        <v>149</v>
      </c>
      <c r="C514">
        <v>1000001733</v>
      </c>
      <c r="D514" t="s">
        <v>150</v>
      </c>
      <c r="E514" t="s">
        <v>38</v>
      </c>
      <c r="F514">
        <v>2026</v>
      </c>
      <c r="G514">
        <v>7</v>
      </c>
      <c r="H514">
        <v>0</v>
      </c>
      <c r="I514" t="s">
        <v>39</v>
      </c>
      <c r="J514" t="s">
        <v>47</v>
      </c>
      <c r="L514" t="s">
        <v>54</v>
      </c>
      <c r="M514" t="s">
        <v>42</v>
      </c>
      <c r="O514" t="s">
        <v>48</v>
      </c>
      <c r="P514" t="s">
        <v>55</v>
      </c>
      <c r="Q514" t="s">
        <v>45</v>
      </c>
      <c r="R514">
        <v>0.45</v>
      </c>
      <c r="S514">
        <v>2676</v>
      </c>
      <c r="T514">
        <v>1204.2</v>
      </c>
      <c r="U514">
        <v>46268.655147939811</v>
      </c>
      <c r="V514" t="s">
        <v>66</v>
      </c>
    </row>
    <row r="515" spans="1:22" x14ac:dyDescent="0.2">
      <c r="A515">
        <v>1000003888</v>
      </c>
      <c r="B515" t="s">
        <v>149</v>
      </c>
      <c r="C515">
        <v>1000001733</v>
      </c>
      <c r="D515" t="s">
        <v>150</v>
      </c>
      <c r="E515" t="s">
        <v>38</v>
      </c>
      <c r="F515">
        <v>2026</v>
      </c>
      <c r="G515">
        <v>7</v>
      </c>
      <c r="H515">
        <v>0</v>
      </c>
      <c r="I515" t="s">
        <v>39</v>
      </c>
      <c r="J515" t="s">
        <v>40</v>
      </c>
      <c r="L515" t="s">
        <v>64</v>
      </c>
      <c r="M515" t="s">
        <v>56</v>
      </c>
      <c r="O515" t="s">
        <v>67</v>
      </c>
      <c r="P515" t="s">
        <v>44</v>
      </c>
      <c r="Q515" t="s">
        <v>45</v>
      </c>
      <c r="R515">
        <v>0.3</v>
      </c>
      <c r="S515">
        <v>104</v>
      </c>
      <c r="T515">
        <v>31.2</v>
      </c>
      <c r="U515">
        <v>46268.655147939811</v>
      </c>
      <c r="V515" t="s">
        <v>58</v>
      </c>
    </row>
    <row r="516" spans="1:22" x14ac:dyDescent="0.2">
      <c r="A516">
        <v>1000003888</v>
      </c>
      <c r="B516" t="s">
        <v>149</v>
      </c>
      <c r="C516">
        <v>1000001733</v>
      </c>
      <c r="D516" t="s">
        <v>150</v>
      </c>
      <c r="E516" t="s">
        <v>38</v>
      </c>
      <c r="F516">
        <v>2026</v>
      </c>
      <c r="G516">
        <v>7</v>
      </c>
      <c r="H516">
        <v>0</v>
      </c>
      <c r="I516" t="s">
        <v>39</v>
      </c>
      <c r="J516" t="s">
        <v>40</v>
      </c>
      <c r="L516" t="s">
        <v>65</v>
      </c>
      <c r="M516" t="s">
        <v>56</v>
      </c>
      <c r="O516" t="s">
        <v>67</v>
      </c>
      <c r="P516" t="s">
        <v>44</v>
      </c>
      <c r="Q516" t="s">
        <v>45</v>
      </c>
      <c r="R516">
        <v>2.12</v>
      </c>
      <c r="S516">
        <v>806</v>
      </c>
      <c r="T516">
        <v>1708.72</v>
      </c>
      <c r="U516">
        <v>46268.655147939811</v>
      </c>
      <c r="V516" t="s">
        <v>73</v>
      </c>
    </row>
    <row r="517" spans="1:22" x14ac:dyDescent="0.2">
      <c r="A517">
        <v>1000003888</v>
      </c>
      <c r="B517" t="s">
        <v>149</v>
      </c>
      <c r="C517">
        <v>1000001733</v>
      </c>
      <c r="D517" t="s">
        <v>150</v>
      </c>
      <c r="E517" t="s">
        <v>38</v>
      </c>
      <c r="F517">
        <v>2026</v>
      </c>
      <c r="G517">
        <v>7</v>
      </c>
      <c r="H517">
        <v>0</v>
      </c>
      <c r="I517" t="s">
        <v>39</v>
      </c>
      <c r="J517" t="s">
        <v>47</v>
      </c>
      <c r="L517" t="s">
        <v>41</v>
      </c>
      <c r="M517" t="s">
        <v>56</v>
      </c>
      <c r="O517" t="s">
        <v>57</v>
      </c>
      <c r="P517" t="s">
        <v>44</v>
      </c>
      <c r="Q517" t="s">
        <v>45</v>
      </c>
      <c r="R517">
        <v>0.125</v>
      </c>
      <c r="S517">
        <v>833</v>
      </c>
      <c r="T517">
        <v>104.12</v>
      </c>
      <c r="U517">
        <v>46268.655147939811</v>
      </c>
      <c r="V517" t="s">
        <v>58</v>
      </c>
    </row>
    <row r="518" spans="1:22" x14ac:dyDescent="0.2">
      <c r="A518">
        <v>1000003888</v>
      </c>
      <c r="B518" t="s">
        <v>149</v>
      </c>
      <c r="C518">
        <v>1000001733</v>
      </c>
      <c r="D518" t="s">
        <v>150</v>
      </c>
      <c r="E518" t="s">
        <v>38</v>
      </c>
      <c r="F518">
        <v>2026</v>
      </c>
      <c r="G518">
        <v>7</v>
      </c>
      <c r="H518">
        <v>0</v>
      </c>
      <c r="I518" t="s">
        <v>39</v>
      </c>
      <c r="J518" t="s">
        <v>47</v>
      </c>
      <c r="L518" t="s">
        <v>64</v>
      </c>
      <c r="M518" t="s">
        <v>56</v>
      </c>
      <c r="O518" t="s">
        <v>57</v>
      </c>
      <c r="P518" t="s">
        <v>44</v>
      </c>
      <c r="Q518" t="s">
        <v>45</v>
      </c>
      <c r="R518">
        <v>0.52500000000000002</v>
      </c>
      <c r="S518">
        <v>166</v>
      </c>
      <c r="T518">
        <v>87.15</v>
      </c>
      <c r="U518">
        <v>46268.655147939811</v>
      </c>
      <c r="V518" t="s">
        <v>58</v>
      </c>
    </row>
    <row r="519" spans="1:22" x14ac:dyDescent="0.2">
      <c r="A519">
        <v>1000003888</v>
      </c>
      <c r="B519" t="s">
        <v>149</v>
      </c>
      <c r="C519">
        <v>1000001733</v>
      </c>
      <c r="D519" t="s">
        <v>150</v>
      </c>
      <c r="E519" t="s">
        <v>38</v>
      </c>
      <c r="F519">
        <v>2026</v>
      </c>
      <c r="G519">
        <v>7</v>
      </c>
      <c r="H519">
        <v>0</v>
      </c>
      <c r="I519" t="s">
        <v>39</v>
      </c>
      <c r="J519" t="s">
        <v>47</v>
      </c>
      <c r="L519" t="s">
        <v>65</v>
      </c>
      <c r="M519" t="s">
        <v>56</v>
      </c>
      <c r="O519" t="s">
        <v>57</v>
      </c>
      <c r="P519" t="s">
        <v>44</v>
      </c>
      <c r="Q519" t="s">
        <v>45</v>
      </c>
      <c r="R519">
        <v>4.4349999999999996</v>
      </c>
      <c r="S519">
        <v>1677</v>
      </c>
      <c r="T519">
        <v>7437.49</v>
      </c>
      <c r="U519">
        <v>46268.655147939811</v>
      </c>
      <c r="V519" t="s">
        <v>58</v>
      </c>
    </row>
    <row r="520" spans="1:22" x14ac:dyDescent="0.2">
      <c r="A520">
        <v>1000003888</v>
      </c>
      <c r="B520" t="s">
        <v>149</v>
      </c>
      <c r="C520">
        <v>1000001728</v>
      </c>
      <c r="D520" t="s">
        <v>151</v>
      </c>
      <c r="E520" t="s">
        <v>38</v>
      </c>
      <c r="F520">
        <v>2026</v>
      </c>
      <c r="G520">
        <v>7</v>
      </c>
      <c r="H520">
        <v>0</v>
      </c>
      <c r="I520" t="s">
        <v>39</v>
      </c>
      <c r="J520" t="s">
        <v>40</v>
      </c>
      <c r="L520" t="s">
        <v>41</v>
      </c>
      <c r="M520" t="s">
        <v>42</v>
      </c>
      <c r="O520" t="s">
        <v>43</v>
      </c>
      <c r="P520" t="s">
        <v>44</v>
      </c>
      <c r="Q520" t="s">
        <v>45</v>
      </c>
      <c r="R520">
        <v>2.54</v>
      </c>
      <c r="S520">
        <v>321</v>
      </c>
      <c r="T520">
        <v>815.34</v>
      </c>
      <c r="U520">
        <v>46268.655147939811</v>
      </c>
      <c r="V520" t="s">
        <v>72</v>
      </c>
    </row>
    <row r="521" spans="1:22" x14ac:dyDescent="0.2">
      <c r="A521">
        <v>1000003888</v>
      </c>
      <c r="B521" t="s">
        <v>149</v>
      </c>
      <c r="C521">
        <v>1000001728</v>
      </c>
      <c r="D521" t="s">
        <v>151</v>
      </c>
      <c r="E521" t="s">
        <v>38</v>
      </c>
      <c r="F521">
        <v>2026</v>
      </c>
      <c r="G521">
        <v>7</v>
      </c>
      <c r="H521">
        <v>0</v>
      </c>
      <c r="I521" t="s">
        <v>39</v>
      </c>
      <c r="J521" t="s">
        <v>40</v>
      </c>
      <c r="L521" t="s">
        <v>64</v>
      </c>
      <c r="M521" t="s">
        <v>42</v>
      </c>
      <c r="O521" t="s">
        <v>43</v>
      </c>
      <c r="P521" t="s">
        <v>44</v>
      </c>
      <c r="Q521" t="s">
        <v>45</v>
      </c>
      <c r="R521">
        <v>2.2400000000000002</v>
      </c>
      <c r="S521">
        <v>69</v>
      </c>
      <c r="T521">
        <v>154.56</v>
      </c>
      <c r="U521">
        <v>46268.655147939811</v>
      </c>
      <c r="V521" t="s">
        <v>72</v>
      </c>
    </row>
    <row r="522" spans="1:22" x14ac:dyDescent="0.2">
      <c r="A522">
        <v>1000003888</v>
      </c>
      <c r="B522" t="s">
        <v>149</v>
      </c>
      <c r="C522">
        <v>1000001728</v>
      </c>
      <c r="D522" t="s">
        <v>151</v>
      </c>
      <c r="E522" t="s">
        <v>38</v>
      </c>
      <c r="F522">
        <v>2026</v>
      </c>
      <c r="G522">
        <v>7</v>
      </c>
      <c r="H522">
        <v>0</v>
      </c>
      <c r="I522" t="s">
        <v>39</v>
      </c>
      <c r="J522" t="s">
        <v>40</v>
      </c>
      <c r="L522" t="s">
        <v>65</v>
      </c>
      <c r="M522" t="s">
        <v>42</v>
      </c>
      <c r="O522" t="s">
        <v>43</v>
      </c>
      <c r="P522" t="s">
        <v>44</v>
      </c>
      <c r="Q522" t="s">
        <v>45</v>
      </c>
      <c r="R522">
        <v>0.42</v>
      </c>
      <c r="S522">
        <v>364</v>
      </c>
      <c r="T522">
        <v>152.88</v>
      </c>
      <c r="U522">
        <v>46268.655147939811</v>
      </c>
      <c r="V522" t="s">
        <v>72</v>
      </c>
    </row>
    <row r="523" spans="1:22" x14ac:dyDescent="0.2">
      <c r="A523">
        <v>1000003888</v>
      </c>
      <c r="B523" t="s">
        <v>149</v>
      </c>
      <c r="C523">
        <v>1000001728</v>
      </c>
      <c r="D523" t="s">
        <v>151</v>
      </c>
      <c r="E523" t="s">
        <v>38</v>
      </c>
      <c r="F523">
        <v>2026</v>
      </c>
      <c r="G523">
        <v>7</v>
      </c>
      <c r="H523">
        <v>0</v>
      </c>
      <c r="I523" t="s">
        <v>39</v>
      </c>
      <c r="J523" t="s">
        <v>47</v>
      </c>
      <c r="L523" t="s">
        <v>41</v>
      </c>
      <c r="M523" t="s">
        <v>42</v>
      </c>
      <c r="O523" t="s">
        <v>48</v>
      </c>
      <c r="P523" t="s">
        <v>49</v>
      </c>
      <c r="Q523" t="s">
        <v>45</v>
      </c>
      <c r="R523">
        <v>4.3099999999999996</v>
      </c>
      <c r="S523">
        <v>491</v>
      </c>
      <c r="T523">
        <v>2116.21</v>
      </c>
      <c r="U523">
        <v>46268.655147939811</v>
      </c>
      <c r="V523" t="s">
        <v>66</v>
      </c>
    </row>
    <row r="524" spans="1:22" x14ac:dyDescent="0.2">
      <c r="A524">
        <v>1000003888</v>
      </c>
      <c r="B524" t="s">
        <v>149</v>
      </c>
      <c r="C524">
        <v>1000001728</v>
      </c>
      <c r="D524" t="s">
        <v>151</v>
      </c>
      <c r="E524" t="s">
        <v>38</v>
      </c>
      <c r="F524">
        <v>2026</v>
      </c>
      <c r="G524">
        <v>7</v>
      </c>
      <c r="H524">
        <v>0</v>
      </c>
      <c r="I524" t="s">
        <v>39</v>
      </c>
      <c r="J524" t="s">
        <v>47</v>
      </c>
      <c r="L524" t="s">
        <v>51</v>
      </c>
      <c r="M524" t="s">
        <v>42</v>
      </c>
      <c r="O524" t="s">
        <v>48</v>
      </c>
      <c r="P524" t="s">
        <v>52</v>
      </c>
      <c r="Q524" t="s">
        <v>45</v>
      </c>
      <c r="R524">
        <v>0.09</v>
      </c>
      <c r="S524">
        <v>1189</v>
      </c>
      <c r="T524">
        <v>107.01</v>
      </c>
      <c r="U524">
        <v>46268.655147939811</v>
      </c>
      <c r="V524" t="s">
        <v>53</v>
      </c>
    </row>
    <row r="525" spans="1:22" x14ac:dyDescent="0.2">
      <c r="A525">
        <v>1000003888</v>
      </c>
      <c r="B525" t="s">
        <v>149</v>
      </c>
      <c r="C525">
        <v>1000001728</v>
      </c>
      <c r="D525" t="s">
        <v>151</v>
      </c>
      <c r="E525" t="s">
        <v>38</v>
      </c>
      <c r="F525">
        <v>2026</v>
      </c>
      <c r="G525">
        <v>7</v>
      </c>
      <c r="H525">
        <v>0</v>
      </c>
      <c r="I525" t="s">
        <v>39</v>
      </c>
      <c r="J525" t="s">
        <v>47</v>
      </c>
      <c r="L525" t="s">
        <v>64</v>
      </c>
      <c r="M525" t="s">
        <v>42</v>
      </c>
      <c r="O525" t="s">
        <v>48</v>
      </c>
      <c r="P525" t="s">
        <v>49</v>
      </c>
      <c r="Q525" t="s">
        <v>45</v>
      </c>
      <c r="R525">
        <v>3.91</v>
      </c>
      <c r="S525">
        <v>104</v>
      </c>
      <c r="T525">
        <v>406.64</v>
      </c>
      <c r="U525">
        <v>46268.655147939811</v>
      </c>
      <c r="V525" t="s">
        <v>66</v>
      </c>
    </row>
    <row r="526" spans="1:22" x14ac:dyDescent="0.2">
      <c r="A526">
        <v>1000003888</v>
      </c>
      <c r="B526" t="s">
        <v>149</v>
      </c>
      <c r="C526">
        <v>1000001728</v>
      </c>
      <c r="D526" t="s">
        <v>151</v>
      </c>
      <c r="E526" t="s">
        <v>38</v>
      </c>
      <c r="F526">
        <v>2026</v>
      </c>
      <c r="G526">
        <v>7</v>
      </c>
      <c r="H526">
        <v>0</v>
      </c>
      <c r="I526" t="s">
        <v>39</v>
      </c>
      <c r="J526" t="s">
        <v>47</v>
      </c>
      <c r="L526" t="s">
        <v>54</v>
      </c>
      <c r="M526" t="s">
        <v>42</v>
      </c>
      <c r="O526" t="s">
        <v>48</v>
      </c>
      <c r="P526" t="s">
        <v>55</v>
      </c>
      <c r="Q526" t="s">
        <v>45</v>
      </c>
      <c r="R526">
        <v>0.45</v>
      </c>
      <c r="S526">
        <v>1189</v>
      </c>
      <c r="T526">
        <v>535.04999999999995</v>
      </c>
      <c r="U526">
        <v>46268.655147939811</v>
      </c>
      <c r="V526" t="s">
        <v>66</v>
      </c>
    </row>
    <row r="527" spans="1:22" x14ac:dyDescent="0.2">
      <c r="A527">
        <v>1000003888</v>
      </c>
      <c r="B527" t="s">
        <v>149</v>
      </c>
      <c r="C527">
        <v>1000001728</v>
      </c>
      <c r="D527" t="s">
        <v>151</v>
      </c>
      <c r="E527" t="s">
        <v>38</v>
      </c>
      <c r="F527">
        <v>2026</v>
      </c>
      <c r="G527">
        <v>7</v>
      </c>
      <c r="H527">
        <v>0</v>
      </c>
      <c r="I527" t="s">
        <v>39</v>
      </c>
      <c r="J527" t="s">
        <v>40</v>
      </c>
      <c r="L527" t="s">
        <v>64</v>
      </c>
      <c r="M527" t="s">
        <v>56</v>
      </c>
      <c r="O527" t="s">
        <v>67</v>
      </c>
      <c r="P527" t="s">
        <v>44</v>
      </c>
      <c r="Q527" t="s">
        <v>45</v>
      </c>
      <c r="R527">
        <v>0.3</v>
      </c>
      <c r="S527">
        <v>69</v>
      </c>
      <c r="T527">
        <v>20.7</v>
      </c>
      <c r="U527">
        <v>46268.655147939811</v>
      </c>
      <c r="V527" t="s">
        <v>58</v>
      </c>
    </row>
    <row r="528" spans="1:22" x14ac:dyDescent="0.2">
      <c r="A528">
        <v>1000003888</v>
      </c>
      <c r="B528" t="s">
        <v>149</v>
      </c>
      <c r="C528">
        <v>1000001728</v>
      </c>
      <c r="D528" t="s">
        <v>151</v>
      </c>
      <c r="E528" t="s">
        <v>38</v>
      </c>
      <c r="F528">
        <v>2026</v>
      </c>
      <c r="G528">
        <v>7</v>
      </c>
      <c r="H528">
        <v>0</v>
      </c>
      <c r="I528" t="s">
        <v>39</v>
      </c>
      <c r="J528" t="s">
        <v>40</v>
      </c>
      <c r="L528" t="s">
        <v>65</v>
      </c>
      <c r="M528" t="s">
        <v>56</v>
      </c>
      <c r="O528" t="s">
        <v>67</v>
      </c>
      <c r="P528" t="s">
        <v>44</v>
      </c>
      <c r="Q528" t="s">
        <v>45</v>
      </c>
      <c r="R528">
        <v>2.12</v>
      </c>
      <c r="S528">
        <v>364</v>
      </c>
      <c r="T528">
        <v>771.68</v>
      </c>
      <c r="U528">
        <v>46268.655147939811</v>
      </c>
      <c r="V528" t="s">
        <v>73</v>
      </c>
    </row>
    <row r="529" spans="1:22" x14ac:dyDescent="0.2">
      <c r="A529">
        <v>1000003888</v>
      </c>
      <c r="B529" t="s">
        <v>149</v>
      </c>
      <c r="C529">
        <v>1000001728</v>
      </c>
      <c r="D529" t="s">
        <v>151</v>
      </c>
      <c r="E529" t="s">
        <v>38</v>
      </c>
      <c r="F529">
        <v>2026</v>
      </c>
      <c r="G529">
        <v>7</v>
      </c>
      <c r="H529">
        <v>0</v>
      </c>
      <c r="I529" t="s">
        <v>39</v>
      </c>
      <c r="J529" t="s">
        <v>47</v>
      </c>
      <c r="L529" t="s">
        <v>41</v>
      </c>
      <c r="M529" t="s">
        <v>56</v>
      </c>
      <c r="O529" t="s">
        <v>57</v>
      </c>
      <c r="P529" t="s">
        <v>44</v>
      </c>
      <c r="Q529" t="s">
        <v>45</v>
      </c>
      <c r="R529">
        <v>0.125</v>
      </c>
      <c r="S529">
        <v>491</v>
      </c>
      <c r="T529">
        <v>61.37</v>
      </c>
      <c r="U529">
        <v>46268.655147939811</v>
      </c>
      <c r="V529" t="s">
        <v>58</v>
      </c>
    </row>
    <row r="530" spans="1:22" x14ac:dyDescent="0.2">
      <c r="A530">
        <v>1000003888</v>
      </c>
      <c r="B530" t="s">
        <v>149</v>
      </c>
      <c r="C530">
        <v>1000001728</v>
      </c>
      <c r="D530" t="s">
        <v>151</v>
      </c>
      <c r="E530" t="s">
        <v>38</v>
      </c>
      <c r="F530">
        <v>2026</v>
      </c>
      <c r="G530">
        <v>7</v>
      </c>
      <c r="H530">
        <v>0</v>
      </c>
      <c r="I530" t="s">
        <v>39</v>
      </c>
      <c r="J530" t="s">
        <v>47</v>
      </c>
      <c r="L530" t="s">
        <v>64</v>
      </c>
      <c r="M530" t="s">
        <v>56</v>
      </c>
      <c r="O530" t="s">
        <v>57</v>
      </c>
      <c r="P530" t="s">
        <v>44</v>
      </c>
      <c r="Q530" t="s">
        <v>45</v>
      </c>
      <c r="R530">
        <v>0.52500000000000002</v>
      </c>
      <c r="S530">
        <v>104</v>
      </c>
      <c r="T530">
        <v>54.6</v>
      </c>
      <c r="U530">
        <v>46268.655147939811</v>
      </c>
      <c r="V530" t="s">
        <v>58</v>
      </c>
    </row>
    <row r="531" spans="1:22" x14ac:dyDescent="0.2">
      <c r="A531">
        <v>1000003888</v>
      </c>
      <c r="B531" t="s">
        <v>149</v>
      </c>
      <c r="C531">
        <v>1000001728</v>
      </c>
      <c r="D531" t="s">
        <v>151</v>
      </c>
      <c r="E531" t="s">
        <v>38</v>
      </c>
      <c r="F531">
        <v>2026</v>
      </c>
      <c r="G531">
        <v>7</v>
      </c>
      <c r="H531">
        <v>0</v>
      </c>
      <c r="I531" t="s">
        <v>39</v>
      </c>
      <c r="J531" t="s">
        <v>47</v>
      </c>
      <c r="L531" t="s">
        <v>65</v>
      </c>
      <c r="M531" t="s">
        <v>56</v>
      </c>
      <c r="O531" t="s">
        <v>57</v>
      </c>
      <c r="P531" t="s">
        <v>44</v>
      </c>
      <c r="Q531" t="s">
        <v>45</v>
      </c>
      <c r="R531">
        <v>4.4349999999999996</v>
      </c>
      <c r="S531">
        <v>594</v>
      </c>
      <c r="T531">
        <v>2634.39</v>
      </c>
      <c r="U531">
        <v>46268.655147939811</v>
      </c>
      <c r="V531" t="s">
        <v>58</v>
      </c>
    </row>
    <row r="532" spans="1:22" x14ac:dyDescent="0.2">
      <c r="A532">
        <v>1000003888</v>
      </c>
      <c r="B532" t="s">
        <v>149</v>
      </c>
      <c r="C532">
        <v>1000001725</v>
      </c>
      <c r="D532" t="s">
        <v>152</v>
      </c>
      <c r="E532" t="s">
        <v>38</v>
      </c>
      <c r="F532">
        <v>2026</v>
      </c>
      <c r="G532">
        <v>7</v>
      </c>
      <c r="H532">
        <v>0</v>
      </c>
      <c r="I532" t="s">
        <v>39</v>
      </c>
      <c r="J532" t="s">
        <v>40</v>
      </c>
      <c r="L532" t="s">
        <v>41</v>
      </c>
      <c r="M532" t="s">
        <v>42</v>
      </c>
      <c r="O532" t="s">
        <v>43</v>
      </c>
      <c r="P532" t="s">
        <v>44</v>
      </c>
      <c r="Q532" t="s">
        <v>45</v>
      </c>
      <c r="R532">
        <v>2.54</v>
      </c>
      <c r="S532">
        <v>70</v>
      </c>
      <c r="T532">
        <v>177.8</v>
      </c>
      <c r="U532">
        <v>46268.655147939811</v>
      </c>
      <c r="V532" t="s">
        <v>72</v>
      </c>
    </row>
    <row r="533" spans="1:22" x14ac:dyDescent="0.2">
      <c r="A533">
        <v>1000003888</v>
      </c>
      <c r="B533" t="s">
        <v>149</v>
      </c>
      <c r="C533">
        <v>1000001725</v>
      </c>
      <c r="D533" t="s">
        <v>152</v>
      </c>
      <c r="E533" t="s">
        <v>38</v>
      </c>
      <c r="F533">
        <v>2026</v>
      </c>
      <c r="G533">
        <v>7</v>
      </c>
      <c r="H533">
        <v>0</v>
      </c>
      <c r="I533" t="s">
        <v>39</v>
      </c>
      <c r="J533" t="s">
        <v>40</v>
      </c>
      <c r="L533" t="s">
        <v>64</v>
      </c>
      <c r="M533" t="s">
        <v>42</v>
      </c>
      <c r="O533" t="s">
        <v>43</v>
      </c>
      <c r="P533" t="s">
        <v>44</v>
      </c>
      <c r="Q533" t="s">
        <v>45</v>
      </c>
      <c r="R533">
        <v>2.2400000000000002</v>
      </c>
      <c r="S533">
        <v>7</v>
      </c>
      <c r="T533">
        <v>15.68</v>
      </c>
      <c r="U533">
        <v>46268.655147939811</v>
      </c>
      <c r="V533" t="s">
        <v>72</v>
      </c>
    </row>
    <row r="534" spans="1:22" x14ac:dyDescent="0.2">
      <c r="A534">
        <v>1000003888</v>
      </c>
      <c r="B534" t="s">
        <v>149</v>
      </c>
      <c r="C534">
        <v>1000001725</v>
      </c>
      <c r="D534" t="s">
        <v>152</v>
      </c>
      <c r="E534" t="s">
        <v>38</v>
      </c>
      <c r="F534">
        <v>2026</v>
      </c>
      <c r="G534">
        <v>7</v>
      </c>
      <c r="H534">
        <v>0</v>
      </c>
      <c r="I534" t="s">
        <v>39</v>
      </c>
      <c r="J534" t="s">
        <v>40</v>
      </c>
      <c r="L534" t="s">
        <v>65</v>
      </c>
      <c r="M534" t="s">
        <v>42</v>
      </c>
      <c r="O534" t="s">
        <v>43</v>
      </c>
      <c r="P534" t="s">
        <v>44</v>
      </c>
      <c r="Q534" t="s">
        <v>45</v>
      </c>
      <c r="R534">
        <v>0.42</v>
      </c>
      <c r="S534">
        <v>69</v>
      </c>
      <c r="T534">
        <v>28.98</v>
      </c>
      <c r="U534">
        <v>46268.655147939811</v>
      </c>
      <c r="V534" t="s">
        <v>72</v>
      </c>
    </row>
    <row r="535" spans="1:22" x14ac:dyDescent="0.2">
      <c r="A535">
        <v>1000003888</v>
      </c>
      <c r="B535" t="s">
        <v>149</v>
      </c>
      <c r="C535">
        <v>1000001725</v>
      </c>
      <c r="D535" t="s">
        <v>152</v>
      </c>
      <c r="E535" t="s">
        <v>38</v>
      </c>
      <c r="F535">
        <v>2026</v>
      </c>
      <c r="G535">
        <v>7</v>
      </c>
      <c r="H535">
        <v>0</v>
      </c>
      <c r="I535" t="s">
        <v>39</v>
      </c>
      <c r="J535" t="s">
        <v>47</v>
      </c>
      <c r="L535" t="s">
        <v>41</v>
      </c>
      <c r="M535" t="s">
        <v>42</v>
      </c>
      <c r="O535" t="s">
        <v>48</v>
      </c>
      <c r="P535" t="s">
        <v>49</v>
      </c>
      <c r="Q535" t="s">
        <v>45</v>
      </c>
      <c r="R535">
        <v>4.3099999999999996</v>
      </c>
      <c r="S535">
        <v>142</v>
      </c>
      <c r="T535">
        <v>612.02</v>
      </c>
      <c r="U535">
        <v>46268.655147939811</v>
      </c>
      <c r="V535" t="s">
        <v>66</v>
      </c>
    </row>
    <row r="536" spans="1:22" x14ac:dyDescent="0.2">
      <c r="A536">
        <v>1000003888</v>
      </c>
      <c r="B536" t="s">
        <v>149</v>
      </c>
      <c r="C536">
        <v>1000001725</v>
      </c>
      <c r="D536" t="s">
        <v>152</v>
      </c>
      <c r="E536" t="s">
        <v>38</v>
      </c>
      <c r="F536">
        <v>2026</v>
      </c>
      <c r="G536">
        <v>7</v>
      </c>
      <c r="H536">
        <v>0</v>
      </c>
      <c r="I536" t="s">
        <v>39</v>
      </c>
      <c r="J536" t="s">
        <v>47</v>
      </c>
      <c r="L536" t="s">
        <v>51</v>
      </c>
      <c r="M536" t="s">
        <v>42</v>
      </c>
      <c r="O536" t="s">
        <v>48</v>
      </c>
      <c r="P536" t="s">
        <v>52</v>
      </c>
      <c r="Q536" t="s">
        <v>45</v>
      </c>
      <c r="R536">
        <v>0.09</v>
      </c>
      <c r="S536">
        <v>473</v>
      </c>
      <c r="T536">
        <v>42.57</v>
      </c>
      <c r="U536">
        <v>46268.655147939811</v>
      </c>
      <c r="V536" t="s">
        <v>53</v>
      </c>
    </row>
    <row r="537" spans="1:22" x14ac:dyDescent="0.2">
      <c r="A537">
        <v>1000003888</v>
      </c>
      <c r="B537" t="s">
        <v>149</v>
      </c>
      <c r="C537">
        <v>1000001725</v>
      </c>
      <c r="D537" t="s">
        <v>152</v>
      </c>
      <c r="E537" t="s">
        <v>38</v>
      </c>
      <c r="F537">
        <v>2026</v>
      </c>
      <c r="G537">
        <v>7</v>
      </c>
      <c r="H537">
        <v>0</v>
      </c>
      <c r="I537" t="s">
        <v>39</v>
      </c>
      <c r="J537" t="s">
        <v>47</v>
      </c>
      <c r="L537" t="s">
        <v>64</v>
      </c>
      <c r="M537" t="s">
        <v>42</v>
      </c>
      <c r="O537" t="s">
        <v>48</v>
      </c>
      <c r="P537" t="s">
        <v>49</v>
      </c>
      <c r="Q537" t="s">
        <v>45</v>
      </c>
      <c r="R537">
        <v>3.91</v>
      </c>
      <c r="S537">
        <v>12</v>
      </c>
      <c r="T537">
        <v>46.92</v>
      </c>
      <c r="U537">
        <v>46268.655147939811</v>
      </c>
      <c r="V537" t="s">
        <v>66</v>
      </c>
    </row>
    <row r="538" spans="1:22" x14ac:dyDescent="0.2">
      <c r="A538">
        <v>1000003888</v>
      </c>
      <c r="B538" t="s">
        <v>149</v>
      </c>
      <c r="C538">
        <v>1000001725</v>
      </c>
      <c r="D538" t="s">
        <v>152</v>
      </c>
      <c r="E538" t="s">
        <v>38</v>
      </c>
      <c r="F538">
        <v>2026</v>
      </c>
      <c r="G538">
        <v>7</v>
      </c>
      <c r="H538">
        <v>0</v>
      </c>
      <c r="I538" t="s">
        <v>39</v>
      </c>
      <c r="J538" t="s">
        <v>47</v>
      </c>
      <c r="L538" t="s">
        <v>54</v>
      </c>
      <c r="M538" t="s">
        <v>42</v>
      </c>
      <c r="O538" t="s">
        <v>48</v>
      </c>
      <c r="P538" t="s">
        <v>55</v>
      </c>
      <c r="Q538" t="s">
        <v>45</v>
      </c>
      <c r="R538">
        <v>0.45</v>
      </c>
      <c r="S538">
        <v>473</v>
      </c>
      <c r="T538">
        <v>212.85</v>
      </c>
      <c r="U538">
        <v>46268.655147939811</v>
      </c>
      <c r="V538" t="s">
        <v>66</v>
      </c>
    </row>
    <row r="539" spans="1:22" x14ac:dyDescent="0.2">
      <c r="A539">
        <v>1000003888</v>
      </c>
      <c r="B539" t="s">
        <v>149</v>
      </c>
      <c r="C539">
        <v>1000001725</v>
      </c>
      <c r="D539" t="s">
        <v>152</v>
      </c>
      <c r="E539" t="s">
        <v>38</v>
      </c>
      <c r="F539">
        <v>2026</v>
      </c>
      <c r="G539">
        <v>7</v>
      </c>
      <c r="H539">
        <v>0</v>
      </c>
      <c r="I539" t="s">
        <v>39</v>
      </c>
      <c r="J539" t="s">
        <v>40</v>
      </c>
      <c r="L539" t="s">
        <v>64</v>
      </c>
      <c r="M539" t="s">
        <v>56</v>
      </c>
      <c r="O539" t="s">
        <v>67</v>
      </c>
      <c r="P539" t="s">
        <v>44</v>
      </c>
      <c r="Q539" t="s">
        <v>45</v>
      </c>
      <c r="R539">
        <v>0.3</v>
      </c>
      <c r="S539">
        <v>7</v>
      </c>
      <c r="T539">
        <v>2.1</v>
      </c>
      <c r="U539">
        <v>46268.655147939811</v>
      </c>
      <c r="V539" t="s">
        <v>58</v>
      </c>
    </row>
    <row r="540" spans="1:22" x14ac:dyDescent="0.2">
      <c r="A540">
        <v>1000003888</v>
      </c>
      <c r="B540" t="s">
        <v>149</v>
      </c>
      <c r="C540">
        <v>1000001725</v>
      </c>
      <c r="D540" t="s">
        <v>152</v>
      </c>
      <c r="E540" t="s">
        <v>38</v>
      </c>
      <c r="F540">
        <v>2026</v>
      </c>
      <c r="G540">
        <v>7</v>
      </c>
      <c r="H540">
        <v>0</v>
      </c>
      <c r="I540" t="s">
        <v>39</v>
      </c>
      <c r="J540" t="s">
        <v>40</v>
      </c>
      <c r="L540" t="s">
        <v>65</v>
      </c>
      <c r="M540" t="s">
        <v>56</v>
      </c>
      <c r="O540" t="s">
        <v>67</v>
      </c>
      <c r="P540" t="s">
        <v>44</v>
      </c>
      <c r="Q540" t="s">
        <v>45</v>
      </c>
      <c r="R540">
        <v>2.12</v>
      </c>
      <c r="S540">
        <v>69</v>
      </c>
      <c r="T540">
        <v>146.28</v>
      </c>
      <c r="U540">
        <v>46268.655147939811</v>
      </c>
      <c r="V540" t="s">
        <v>73</v>
      </c>
    </row>
    <row r="541" spans="1:22" x14ac:dyDescent="0.2">
      <c r="A541">
        <v>1000003888</v>
      </c>
      <c r="B541" t="s">
        <v>149</v>
      </c>
      <c r="C541">
        <v>1000001725</v>
      </c>
      <c r="D541" t="s">
        <v>152</v>
      </c>
      <c r="E541" t="s">
        <v>38</v>
      </c>
      <c r="F541">
        <v>2026</v>
      </c>
      <c r="G541">
        <v>7</v>
      </c>
      <c r="H541">
        <v>0</v>
      </c>
      <c r="I541" t="s">
        <v>39</v>
      </c>
      <c r="J541" t="s">
        <v>47</v>
      </c>
      <c r="L541" t="s">
        <v>41</v>
      </c>
      <c r="M541" t="s">
        <v>56</v>
      </c>
      <c r="O541" t="s">
        <v>57</v>
      </c>
      <c r="P541" t="s">
        <v>44</v>
      </c>
      <c r="Q541" t="s">
        <v>45</v>
      </c>
      <c r="R541">
        <v>0.125</v>
      </c>
      <c r="S541">
        <v>142</v>
      </c>
      <c r="T541">
        <v>17.75</v>
      </c>
      <c r="U541">
        <v>46268.655147939811</v>
      </c>
      <c r="V541" t="s">
        <v>58</v>
      </c>
    </row>
    <row r="542" spans="1:22" x14ac:dyDescent="0.2">
      <c r="A542">
        <v>1000003888</v>
      </c>
      <c r="B542" t="s">
        <v>149</v>
      </c>
      <c r="C542">
        <v>1000001725</v>
      </c>
      <c r="D542" t="s">
        <v>152</v>
      </c>
      <c r="E542" t="s">
        <v>38</v>
      </c>
      <c r="F542">
        <v>2026</v>
      </c>
      <c r="G542">
        <v>7</v>
      </c>
      <c r="H542">
        <v>0</v>
      </c>
      <c r="I542" t="s">
        <v>39</v>
      </c>
      <c r="J542" t="s">
        <v>47</v>
      </c>
      <c r="L542" t="s">
        <v>64</v>
      </c>
      <c r="M542" t="s">
        <v>56</v>
      </c>
      <c r="O542" t="s">
        <v>57</v>
      </c>
      <c r="P542" t="s">
        <v>44</v>
      </c>
      <c r="Q542" t="s">
        <v>45</v>
      </c>
      <c r="R542">
        <v>0.52500000000000002</v>
      </c>
      <c r="S542">
        <v>12</v>
      </c>
      <c r="T542">
        <v>6.3</v>
      </c>
      <c r="U542">
        <v>46268.655147939811</v>
      </c>
      <c r="V542" t="s">
        <v>58</v>
      </c>
    </row>
    <row r="543" spans="1:22" x14ac:dyDescent="0.2">
      <c r="A543">
        <v>1000003888</v>
      </c>
      <c r="B543" t="s">
        <v>149</v>
      </c>
      <c r="C543">
        <v>1000001725</v>
      </c>
      <c r="D543" t="s">
        <v>152</v>
      </c>
      <c r="E543" t="s">
        <v>38</v>
      </c>
      <c r="F543">
        <v>2026</v>
      </c>
      <c r="G543">
        <v>7</v>
      </c>
      <c r="H543">
        <v>0</v>
      </c>
      <c r="I543" t="s">
        <v>39</v>
      </c>
      <c r="J543" t="s">
        <v>47</v>
      </c>
      <c r="L543" t="s">
        <v>65</v>
      </c>
      <c r="M543" t="s">
        <v>56</v>
      </c>
      <c r="O543" t="s">
        <v>57</v>
      </c>
      <c r="P543" t="s">
        <v>44</v>
      </c>
      <c r="Q543" t="s">
        <v>45</v>
      </c>
      <c r="R543">
        <v>4.4349999999999996</v>
      </c>
      <c r="S543">
        <v>319</v>
      </c>
      <c r="T543">
        <v>1414.76</v>
      </c>
      <c r="U543">
        <v>46268.655147939811</v>
      </c>
      <c r="V543" t="s">
        <v>58</v>
      </c>
    </row>
    <row r="544" spans="1:22" x14ac:dyDescent="0.2">
      <c r="A544">
        <v>1000006260</v>
      </c>
      <c r="B544" t="s">
        <v>153</v>
      </c>
      <c r="C544">
        <v>1000006261</v>
      </c>
      <c r="D544" t="s">
        <v>153</v>
      </c>
      <c r="E544" t="s">
        <v>38</v>
      </c>
      <c r="F544">
        <v>2026</v>
      </c>
      <c r="G544">
        <v>7</v>
      </c>
      <c r="H544">
        <v>0</v>
      </c>
      <c r="I544" t="s">
        <v>39</v>
      </c>
      <c r="J544" t="s">
        <v>62</v>
      </c>
      <c r="L544" t="s">
        <v>41</v>
      </c>
      <c r="M544" t="s">
        <v>42</v>
      </c>
      <c r="O544" t="s">
        <v>48</v>
      </c>
      <c r="P544" t="s">
        <v>63</v>
      </c>
      <c r="Q544" t="s">
        <v>45</v>
      </c>
      <c r="R544">
        <v>1.3</v>
      </c>
      <c r="S544">
        <v>657</v>
      </c>
      <c r="T544">
        <v>854.1</v>
      </c>
      <c r="U544">
        <v>46268.655147939811</v>
      </c>
      <c r="V544" t="s">
        <v>44</v>
      </c>
    </row>
    <row r="545" spans="1:22" x14ac:dyDescent="0.2">
      <c r="A545">
        <v>1000006260</v>
      </c>
      <c r="B545" t="s">
        <v>153</v>
      </c>
      <c r="C545">
        <v>1000006261</v>
      </c>
      <c r="D545" t="s">
        <v>153</v>
      </c>
      <c r="E545" t="s">
        <v>38</v>
      </c>
      <c r="F545">
        <v>2026</v>
      </c>
      <c r="G545">
        <v>7</v>
      </c>
      <c r="H545">
        <v>0</v>
      </c>
      <c r="I545" t="s">
        <v>39</v>
      </c>
      <c r="J545" t="s">
        <v>40</v>
      </c>
      <c r="L545" t="s">
        <v>41</v>
      </c>
      <c r="M545" t="s">
        <v>42</v>
      </c>
      <c r="O545" t="s">
        <v>43</v>
      </c>
      <c r="P545" t="s">
        <v>44</v>
      </c>
      <c r="Q545" t="s">
        <v>45</v>
      </c>
      <c r="R545">
        <v>3.05</v>
      </c>
      <c r="S545">
        <v>1673</v>
      </c>
      <c r="T545">
        <v>5102.6499999999996</v>
      </c>
      <c r="U545">
        <v>46268.655147939811</v>
      </c>
      <c r="V545" t="s">
        <v>46</v>
      </c>
    </row>
    <row r="546" spans="1:22" x14ac:dyDescent="0.2">
      <c r="A546">
        <v>1000006260</v>
      </c>
      <c r="B546" t="s">
        <v>153</v>
      </c>
      <c r="C546">
        <v>1000006261</v>
      </c>
      <c r="D546" t="s">
        <v>153</v>
      </c>
      <c r="E546" t="s">
        <v>38</v>
      </c>
      <c r="F546">
        <v>2026</v>
      </c>
      <c r="G546">
        <v>7</v>
      </c>
      <c r="H546">
        <v>0</v>
      </c>
      <c r="I546" t="s">
        <v>39</v>
      </c>
      <c r="J546" t="s">
        <v>47</v>
      </c>
      <c r="L546" t="s">
        <v>41</v>
      </c>
      <c r="M546" t="s">
        <v>42</v>
      </c>
      <c r="O546" t="s">
        <v>48</v>
      </c>
      <c r="P546" t="s">
        <v>49</v>
      </c>
      <c r="Q546" t="s">
        <v>45</v>
      </c>
      <c r="R546">
        <v>4.3099999999999996</v>
      </c>
      <c r="S546">
        <v>1691</v>
      </c>
      <c r="T546">
        <v>7288.21</v>
      </c>
      <c r="U546">
        <v>46268.655147939811</v>
      </c>
      <c r="V546" t="s">
        <v>50</v>
      </c>
    </row>
    <row r="547" spans="1:22" x14ac:dyDescent="0.2">
      <c r="A547">
        <v>1000006260</v>
      </c>
      <c r="B547" t="s">
        <v>153</v>
      </c>
      <c r="C547">
        <v>1000006261</v>
      </c>
      <c r="D547" t="s">
        <v>153</v>
      </c>
      <c r="E547" t="s">
        <v>38</v>
      </c>
      <c r="F547">
        <v>2026</v>
      </c>
      <c r="G547">
        <v>7</v>
      </c>
      <c r="H547">
        <v>0</v>
      </c>
      <c r="I547" t="s">
        <v>39</v>
      </c>
      <c r="J547" t="s">
        <v>47</v>
      </c>
      <c r="L547" t="s">
        <v>51</v>
      </c>
      <c r="M547" t="s">
        <v>42</v>
      </c>
      <c r="O547" t="s">
        <v>48</v>
      </c>
      <c r="P547" t="s">
        <v>52</v>
      </c>
      <c r="Q547" t="s">
        <v>45</v>
      </c>
      <c r="R547">
        <v>0.09</v>
      </c>
      <c r="S547">
        <v>1691</v>
      </c>
      <c r="T547">
        <v>152.19</v>
      </c>
      <c r="U547">
        <v>46268.655147939811</v>
      </c>
      <c r="V547" t="s">
        <v>53</v>
      </c>
    </row>
    <row r="548" spans="1:22" x14ac:dyDescent="0.2">
      <c r="A548">
        <v>1000006260</v>
      </c>
      <c r="B548" t="s">
        <v>153</v>
      </c>
      <c r="C548">
        <v>1000006261</v>
      </c>
      <c r="D548" t="s">
        <v>153</v>
      </c>
      <c r="E548" t="s">
        <v>38</v>
      </c>
      <c r="F548">
        <v>2026</v>
      </c>
      <c r="G548">
        <v>7</v>
      </c>
      <c r="H548">
        <v>0</v>
      </c>
      <c r="I548" t="s">
        <v>39</v>
      </c>
      <c r="J548" t="s">
        <v>47</v>
      </c>
      <c r="L548" t="s">
        <v>54</v>
      </c>
      <c r="M548" t="s">
        <v>42</v>
      </c>
      <c r="O548" t="s">
        <v>48</v>
      </c>
      <c r="P548" t="s">
        <v>55</v>
      </c>
      <c r="Q548" t="s">
        <v>45</v>
      </c>
      <c r="R548">
        <v>0.47</v>
      </c>
      <c r="S548">
        <v>1691</v>
      </c>
      <c r="T548">
        <v>794.77</v>
      </c>
      <c r="U548">
        <v>46268.655147939811</v>
      </c>
      <c r="V548" t="s">
        <v>50</v>
      </c>
    </row>
    <row r="549" spans="1:22" x14ac:dyDescent="0.2">
      <c r="A549">
        <v>1000006260</v>
      </c>
      <c r="B549" t="s">
        <v>153</v>
      </c>
      <c r="C549">
        <v>1000006261</v>
      </c>
      <c r="D549" t="s">
        <v>153</v>
      </c>
      <c r="E549" t="s">
        <v>38</v>
      </c>
      <c r="F549">
        <v>2026</v>
      </c>
      <c r="G549">
        <v>7</v>
      </c>
      <c r="H549">
        <v>0</v>
      </c>
      <c r="I549" t="s">
        <v>39</v>
      </c>
      <c r="J549" t="s">
        <v>47</v>
      </c>
      <c r="L549" t="s">
        <v>41</v>
      </c>
      <c r="M549" t="s">
        <v>56</v>
      </c>
      <c r="O549" t="s">
        <v>57</v>
      </c>
      <c r="P549" t="s">
        <v>44</v>
      </c>
      <c r="Q549" t="s">
        <v>45</v>
      </c>
      <c r="R549">
        <v>0.125</v>
      </c>
      <c r="S549">
        <v>1691</v>
      </c>
      <c r="T549">
        <v>211.37</v>
      </c>
      <c r="U549">
        <v>46268.655147939811</v>
      </c>
      <c r="V549" t="s">
        <v>58</v>
      </c>
    </row>
    <row r="550" spans="1:22" x14ac:dyDescent="0.2">
      <c r="A550">
        <v>1000003984</v>
      </c>
      <c r="B550" t="s">
        <v>154</v>
      </c>
      <c r="C550">
        <v>1000002037</v>
      </c>
      <c r="D550" t="s">
        <v>155</v>
      </c>
      <c r="E550" t="s">
        <v>38</v>
      </c>
      <c r="F550">
        <v>2026</v>
      </c>
      <c r="G550">
        <v>7</v>
      </c>
      <c r="H550">
        <v>0</v>
      </c>
      <c r="I550" t="s">
        <v>39</v>
      </c>
      <c r="J550" t="s">
        <v>40</v>
      </c>
      <c r="L550" t="s">
        <v>41</v>
      </c>
      <c r="M550" t="s">
        <v>42</v>
      </c>
      <c r="O550" t="s">
        <v>43</v>
      </c>
      <c r="P550" t="s">
        <v>44</v>
      </c>
      <c r="Q550" t="s">
        <v>45</v>
      </c>
      <c r="R550">
        <v>2.54</v>
      </c>
      <c r="S550">
        <v>200</v>
      </c>
      <c r="T550">
        <v>508</v>
      </c>
      <c r="U550">
        <v>46268.655147939811</v>
      </c>
      <c r="V550" t="s">
        <v>72</v>
      </c>
    </row>
    <row r="551" spans="1:22" x14ac:dyDescent="0.2">
      <c r="A551">
        <v>1000003984</v>
      </c>
      <c r="B551" t="s">
        <v>154</v>
      </c>
      <c r="C551">
        <v>1000002037</v>
      </c>
      <c r="D551" t="s">
        <v>155</v>
      </c>
      <c r="E551" t="s">
        <v>38</v>
      </c>
      <c r="F551">
        <v>2026</v>
      </c>
      <c r="G551">
        <v>7</v>
      </c>
      <c r="H551">
        <v>0</v>
      </c>
      <c r="I551" t="s">
        <v>39</v>
      </c>
      <c r="J551" t="s">
        <v>40</v>
      </c>
      <c r="L551" t="s">
        <v>64</v>
      </c>
      <c r="M551" t="s">
        <v>42</v>
      </c>
      <c r="O551" t="s">
        <v>43</v>
      </c>
      <c r="P551" t="s">
        <v>44</v>
      </c>
      <c r="Q551" t="s">
        <v>45</v>
      </c>
      <c r="R551">
        <v>2.2400000000000002</v>
      </c>
      <c r="S551">
        <v>5</v>
      </c>
      <c r="T551">
        <v>11.2</v>
      </c>
      <c r="U551">
        <v>46268.655147939811</v>
      </c>
      <c r="V551" t="s">
        <v>72</v>
      </c>
    </row>
    <row r="552" spans="1:22" x14ac:dyDescent="0.2">
      <c r="A552">
        <v>1000003984</v>
      </c>
      <c r="B552" t="s">
        <v>154</v>
      </c>
      <c r="C552">
        <v>1000002037</v>
      </c>
      <c r="D552" t="s">
        <v>155</v>
      </c>
      <c r="E552" t="s">
        <v>38</v>
      </c>
      <c r="F552">
        <v>2026</v>
      </c>
      <c r="G552">
        <v>7</v>
      </c>
      <c r="H552">
        <v>0</v>
      </c>
      <c r="I552" t="s">
        <v>39</v>
      </c>
      <c r="J552" t="s">
        <v>40</v>
      </c>
      <c r="L552" t="s">
        <v>65</v>
      </c>
      <c r="M552" t="s">
        <v>42</v>
      </c>
      <c r="O552" t="s">
        <v>43</v>
      </c>
      <c r="P552" t="s">
        <v>44</v>
      </c>
      <c r="Q552" t="s">
        <v>45</v>
      </c>
      <c r="R552">
        <v>0.42</v>
      </c>
      <c r="S552">
        <v>415</v>
      </c>
      <c r="T552">
        <v>174.3</v>
      </c>
      <c r="U552">
        <v>46268.655147939811</v>
      </c>
      <c r="V552" t="s">
        <v>72</v>
      </c>
    </row>
    <row r="553" spans="1:22" x14ac:dyDescent="0.2">
      <c r="A553">
        <v>1000003984</v>
      </c>
      <c r="B553" t="s">
        <v>154</v>
      </c>
      <c r="C553">
        <v>1000002037</v>
      </c>
      <c r="D553" t="s">
        <v>155</v>
      </c>
      <c r="E553" t="s">
        <v>38</v>
      </c>
      <c r="F553">
        <v>2026</v>
      </c>
      <c r="G553">
        <v>7</v>
      </c>
      <c r="H553">
        <v>0</v>
      </c>
      <c r="I553" t="s">
        <v>39</v>
      </c>
      <c r="J553" t="s">
        <v>47</v>
      </c>
      <c r="L553" t="s">
        <v>41</v>
      </c>
      <c r="M553" t="s">
        <v>42</v>
      </c>
      <c r="O553" t="s">
        <v>48</v>
      </c>
      <c r="P553" t="s">
        <v>49</v>
      </c>
      <c r="Q553" t="s">
        <v>45</v>
      </c>
      <c r="R553">
        <v>4.3099999999999996</v>
      </c>
      <c r="S553">
        <v>201</v>
      </c>
      <c r="T553">
        <v>866.31</v>
      </c>
      <c r="U553">
        <v>46268.655147939811</v>
      </c>
      <c r="V553" t="s">
        <v>66</v>
      </c>
    </row>
    <row r="554" spans="1:22" x14ac:dyDescent="0.2">
      <c r="A554">
        <v>1000003984</v>
      </c>
      <c r="B554" t="s">
        <v>154</v>
      </c>
      <c r="C554">
        <v>1000002037</v>
      </c>
      <c r="D554" t="s">
        <v>155</v>
      </c>
      <c r="E554" t="s">
        <v>38</v>
      </c>
      <c r="F554">
        <v>2026</v>
      </c>
      <c r="G554">
        <v>7</v>
      </c>
      <c r="H554">
        <v>0</v>
      </c>
      <c r="I554" t="s">
        <v>39</v>
      </c>
      <c r="J554" t="s">
        <v>47</v>
      </c>
      <c r="L554" t="s">
        <v>51</v>
      </c>
      <c r="M554" t="s">
        <v>42</v>
      </c>
      <c r="O554" t="s">
        <v>48</v>
      </c>
      <c r="P554" t="s">
        <v>52</v>
      </c>
      <c r="Q554" t="s">
        <v>45</v>
      </c>
      <c r="R554">
        <v>0.09</v>
      </c>
      <c r="S554">
        <v>630</v>
      </c>
      <c r="T554">
        <v>56.7</v>
      </c>
      <c r="U554">
        <v>46268.655147939811</v>
      </c>
      <c r="V554" t="s">
        <v>53</v>
      </c>
    </row>
    <row r="555" spans="1:22" x14ac:dyDescent="0.2">
      <c r="A555">
        <v>1000003984</v>
      </c>
      <c r="B555" t="s">
        <v>154</v>
      </c>
      <c r="C555">
        <v>1000002037</v>
      </c>
      <c r="D555" t="s">
        <v>155</v>
      </c>
      <c r="E555" t="s">
        <v>38</v>
      </c>
      <c r="F555">
        <v>2026</v>
      </c>
      <c r="G555">
        <v>7</v>
      </c>
      <c r="H555">
        <v>0</v>
      </c>
      <c r="I555" t="s">
        <v>39</v>
      </c>
      <c r="J555" t="s">
        <v>47</v>
      </c>
      <c r="L555" t="s">
        <v>64</v>
      </c>
      <c r="M555" t="s">
        <v>42</v>
      </c>
      <c r="O555" t="s">
        <v>48</v>
      </c>
      <c r="P555" t="s">
        <v>49</v>
      </c>
      <c r="Q555" t="s">
        <v>45</v>
      </c>
      <c r="R555">
        <v>3.91</v>
      </c>
      <c r="S555">
        <v>5</v>
      </c>
      <c r="T555">
        <v>19.55</v>
      </c>
      <c r="U555">
        <v>46268.655147939811</v>
      </c>
      <c r="V555" t="s">
        <v>66</v>
      </c>
    </row>
    <row r="556" spans="1:22" x14ac:dyDescent="0.2">
      <c r="A556">
        <v>1000003984</v>
      </c>
      <c r="B556" t="s">
        <v>154</v>
      </c>
      <c r="C556">
        <v>1000002037</v>
      </c>
      <c r="D556" t="s">
        <v>155</v>
      </c>
      <c r="E556" t="s">
        <v>38</v>
      </c>
      <c r="F556">
        <v>2026</v>
      </c>
      <c r="G556">
        <v>7</v>
      </c>
      <c r="H556">
        <v>0</v>
      </c>
      <c r="I556" t="s">
        <v>39</v>
      </c>
      <c r="J556" t="s">
        <v>47</v>
      </c>
      <c r="L556" t="s">
        <v>54</v>
      </c>
      <c r="M556" t="s">
        <v>42</v>
      </c>
      <c r="O556" t="s">
        <v>48</v>
      </c>
      <c r="P556" t="s">
        <v>55</v>
      </c>
      <c r="Q556" t="s">
        <v>45</v>
      </c>
      <c r="R556">
        <v>0.45</v>
      </c>
      <c r="S556">
        <v>630</v>
      </c>
      <c r="T556">
        <v>283.5</v>
      </c>
      <c r="U556">
        <v>46268.655147939811</v>
      </c>
      <c r="V556" t="s">
        <v>66</v>
      </c>
    </row>
    <row r="557" spans="1:22" x14ac:dyDescent="0.2">
      <c r="A557">
        <v>1000003984</v>
      </c>
      <c r="B557" t="s">
        <v>154</v>
      </c>
      <c r="C557">
        <v>1000002037</v>
      </c>
      <c r="D557" t="s">
        <v>155</v>
      </c>
      <c r="E557" t="s">
        <v>38</v>
      </c>
      <c r="F557">
        <v>2026</v>
      </c>
      <c r="G557">
        <v>7</v>
      </c>
      <c r="H557">
        <v>0</v>
      </c>
      <c r="I557" t="s">
        <v>39</v>
      </c>
      <c r="J557" t="s">
        <v>40</v>
      </c>
      <c r="L557" t="s">
        <v>64</v>
      </c>
      <c r="M557" t="s">
        <v>56</v>
      </c>
      <c r="O557" t="s">
        <v>67</v>
      </c>
      <c r="P557" t="s">
        <v>44</v>
      </c>
      <c r="Q557" t="s">
        <v>45</v>
      </c>
      <c r="R557">
        <v>0.3</v>
      </c>
      <c r="S557">
        <v>5</v>
      </c>
      <c r="T557">
        <v>1.5</v>
      </c>
      <c r="U557">
        <v>46268.655147939811</v>
      </c>
      <c r="V557" t="s">
        <v>58</v>
      </c>
    </row>
    <row r="558" spans="1:22" x14ac:dyDescent="0.2">
      <c r="A558">
        <v>1000003984</v>
      </c>
      <c r="B558" t="s">
        <v>154</v>
      </c>
      <c r="C558">
        <v>1000002037</v>
      </c>
      <c r="D558" t="s">
        <v>155</v>
      </c>
      <c r="E558" t="s">
        <v>38</v>
      </c>
      <c r="F558">
        <v>2026</v>
      </c>
      <c r="G558">
        <v>7</v>
      </c>
      <c r="H558">
        <v>0</v>
      </c>
      <c r="I558" t="s">
        <v>39</v>
      </c>
      <c r="J558" t="s">
        <v>40</v>
      </c>
      <c r="L558" t="s">
        <v>65</v>
      </c>
      <c r="M558" t="s">
        <v>56</v>
      </c>
      <c r="O558" t="s">
        <v>67</v>
      </c>
      <c r="P558" t="s">
        <v>44</v>
      </c>
      <c r="Q558" t="s">
        <v>45</v>
      </c>
      <c r="R558">
        <v>2.12</v>
      </c>
      <c r="S558">
        <v>415</v>
      </c>
      <c r="T558">
        <v>879.8</v>
      </c>
      <c r="U558">
        <v>46268.655147939811</v>
      </c>
      <c r="V558" t="s">
        <v>73</v>
      </c>
    </row>
    <row r="559" spans="1:22" x14ac:dyDescent="0.2">
      <c r="A559">
        <v>1000003984</v>
      </c>
      <c r="B559" t="s">
        <v>154</v>
      </c>
      <c r="C559">
        <v>1000002037</v>
      </c>
      <c r="D559" t="s">
        <v>155</v>
      </c>
      <c r="E559" t="s">
        <v>38</v>
      </c>
      <c r="F559">
        <v>2026</v>
      </c>
      <c r="G559">
        <v>7</v>
      </c>
      <c r="H559">
        <v>0</v>
      </c>
      <c r="I559" t="s">
        <v>39</v>
      </c>
      <c r="J559" t="s">
        <v>47</v>
      </c>
      <c r="L559" t="s">
        <v>41</v>
      </c>
      <c r="M559" t="s">
        <v>56</v>
      </c>
      <c r="O559" t="s">
        <v>57</v>
      </c>
      <c r="P559" t="s">
        <v>44</v>
      </c>
      <c r="Q559" t="s">
        <v>45</v>
      </c>
      <c r="R559">
        <v>0.125</v>
      </c>
      <c r="S559">
        <v>201</v>
      </c>
      <c r="T559">
        <v>25.12</v>
      </c>
      <c r="U559">
        <v>46268.655147939811</v>
      </c>
      <c r="V559" t="s">
        <v>58</v>
      </c>
    </row>
    <row r="560" spans="1:22" x14ac:dyDescent="0.2">
      <c r="A560">
        <v>1000003984</v>
      </c>
      <c r="B560" t="s">
        <v>154</v>
      </c>
      <c r="C560">
        <v>1000002037</v>
      </c>
      <c r="D560" t="s">
        <v>155</v>
      </c>
      <c r="E560" t="s">
        <v>38</v>
      </c>
      <c r="F560">
        <v>2026</v>
      </c>
      <c r="G560">
        <v>7</v>
      </c>
      <c r="H560">
        <v>0</v>
      </c>
      <c r="I560" t="s">
        <v>39</v>
      </c>
      <c r="J560" t="s">
        <v>47</v>
      </c>
      <c r="L560" t="s">
        <v>64</v>
      </c>
      <c r="M560" t="s">
        <v>56</v>
      </c>
      <c r="O560" t="s">
        <v>57</v>
      </c>
      <c r="P560" t="s">
        <v>44</v>
      </c>
      <c r="Q560" t="s">
        <v>45</v>
      </c>
      <c r="R560">
        <v>0.52500000000000002</v>
      </c>
      <c r="S560">
        <v>5</v>
      </c>
      <c r="T560">
        <v>2.62</v>
      </c>
      <c r="U560">
        <v>46268.655147939811</v>
      </c>
      <c r="V560" t="s">
        <v>58</v>
      </c>
    </row>
    <row r="561" spans="1:22" x14ac:dyDescent="0.2">
      <c r="A561">
        <v>1000003984</v>
      </c>
      <c r="B561" t="s">
        <v>154</v>
      </c>
      <c r="C561">
        <v>1000002037</v>
      </c>
      <c r="D561" t="s">
        <v>155</v>
      </c>
      <c r="E561" t="s">
        <v>38</v>
      </c>
      <c r="F561">
        <v>2026</v>
      </c>
      <c r="G561">
        <v>7</v>
      </c>
      <c r="H561">
        <v>0</v>
      </c>
      <c r="I561" t="s">
        <v>39</v>
      </c>
      <c r="J561" t="s">
        <v>47</v>
      </c>
      <c r="L561" t="s">
        <v>65</v>
      </c>
      <c r="M561" t="s">
        <v>56</v>
      </c>
      <c r="O561" t="s">
        <v>57</v>
      </c>
      <c r="P561" t="s">
        <v>44</v>
      </c>
      <c r="Q561" t="s">
        <v>45</v>
      </c>
      <c r="R561">
        <v>4.4349999999999996</v>
      </c>
      <c r="S561">
        <v>424</v>
      </c>
      <c r="T561">
        <v>1880.44</v>
      </c>
      <c r="U561">
        <v>46268.655147939811</v>
      </c>
      <c r="V561" t="s">
        <v>58</v>
      </c>
    </row>
    <row r="562" spans="1:22" x14ac:dyDescent="0.2">
      <c r="A562">
        <v>1000003984</v>
      </c>
      <c r="B562" t="s">
        <v>154</v>
      </c>
      <c r="C562">
        <v>1000002041</v>
      </c>
      <c r="D562" t="s">
        <v>156</v>
      </c>
      <c r="E562" t="s">
        <v>38</v>
      </c>
      <c r="F562">
        <v>2026</v>
      </c>
      <c r="G562">
        <v>7</v>
      </c>
      <c r="H562">
        <v>0</v>
      </c>
      <c r="I562" t="s">
        <v>39</v>
      </c>
      <c r="J562" t="s">
        <v>40</v>
      </c>
      <c r="L562" t="s">
        <v>41</v>
      </c>
      <c r="M562" t="s">
        <v>42</v>
      </c>
      <c r="O562" t="s">
        <v>43</v>
      </c>
      <c r="P562" t="s">
        <v>44</v>
      </c>
      <c r="Q562" t="s">
        <v>45</v>
      </c>
      <c r="R562">
        <v>3.05</v>
      </c>
      <c r="S562">
        <v>605</v>
      </c>
      <c r="T562">
        <v>1845.25</v>
      </c>
      <c r="U562">
        <v>46268.655147939811</v>
      </c>
      <c r="V562" t="s">
        <v>46</v>
      </c>
    </row>
    <row r="563" spans="1:22" x14ac:dyDescent="0.2">
      <c r="A563">
        <v>1000003984</v>
      </c>
      <c r="B563" t="s">
        <v>154</v>
      </c>
      <c r="C563">
        <v>1000002041</v>
      </c>
      <c r="D563" t="s">
        <v>156</v>
      </c>
      <c r="E563" t="s">
        <v>38</v>
      </c>
      <c r="F563">
        <v>2026</v>
      </c>
      <c r="G563">
        <v>7</v>
      </c>
      <c r="H563">
        <v>0</v>
      </c>
      <c r="I563" t="s">
        <v>39</v>
      </c>
      <c r="J563" t="s">
        <v>40</v>
      </c>
      <c r="L563" t="s">
        <v>64</v>
      </c>
      <c r="M563" t="s">
        <v>42</v>
      </c>
      <c r="O563" t="s">
        <v>43</v>
      </c>
      <c r="P563" t="s">
        <v>44</v>
      </c>
      <c r="Q563" t="s">
        <v>45</v>
      </c>
      <c r="R563">
        <v>2.75</v>
      </c>
      <c r="S563">
        <v>85</v>
      </c>
      <c r="T563">
        <v>233.75</v>
      </c>
      <c r="U563">
        <v>46268.655147939811</v>
      </c>
      <c r="V563" t="s">
        <v>46</v>
      </c>
    </row>
    <row r="564" spans="1:22" x14ac:dyDescent="0.2">
      <c r="A564">
        <v>1000003984</v>
      </c>
      <c r="B564" t="s">
        <v>154</v>
      </c>
      <c r="C564">
        <v>1000002041</v>
      </c>
      <c r="D564" t="s">
        <v>156</v>
      </c>
      <c r="E564" t="s">
        <v>38</v>
      </c>
      <c r="F564">
        <v>2026</v>
      </c>
      <c r="G564">
        <v>7</v>
      </c>
      <c r="H564">
        <v>0</v>
      </c>
      <c r="I564" t="s">
        <v>39</v>
      </c>
      <c r="J564" t="s">
        <v>40</v>
      </c>
      <c r="L564" t="s">
        <v>65</v>
      </c>
      <c r="M564" t="s">
        <v>42</v>
      </c>
      <c r="O564" t="s">
        <v>43</v>
      </c>
      <c r="P564" t="s">
        <v>44</v>
      </c>
      <c r="Q564" t="s">
        <v>45</v>
      </c>
      <c r="R564">
        <v>0.42</v>
      </c>
      <c r="S564">
        <v>614</v>
      </c>
      <c r="T564">
        <v>257.88</v>
      </c>
      <c r="U564">
        <v>46268.655147939811</v>
      </c>
      <c r="V564" t="s">
        <v>46</v>
      </c>
    </row>
    <row r="565" spans="1:22" x14ac:dyDescent="0.2">
      <c r="A565">
        <v>1000003984</v>
      </c>
      <c r="B565" t="s">
        <v>154</v>
      </c>
      <c r="C565">
        <v>1000002041</v>
      </c>
      <c r="D565" t="s">
        <v>156</v>
      </c>
      <c r="E565" t="s">
        <v>38</v>
      </c>
      <c r="F565">
        <v>2026</v>
      </c>
      <c r="G565">
        <v>7</v>
      </c>
      <c r="H565">
        <v>0</v>
      </c>
      <c r="I565" t="s">
        <v>39</v>
      </c>
      <c r="J565" t="s">
        <v>47</v>
      </c>
      <c r="L565" t="s">
        <v>41</v>
      </c>
      <c r="M565" t="s">
        <v>42</v>
      </c>
      <c r="O565" t="s">
        <v>48</v>
      </c>
      <c r="P565" t="s">
        <v>49</v>
      </c>
      <c r="Q565" t="s">
        <v>45</v>
      </c>
      <c r="R565">
        <v>4.3099999999999996</v>
      </c>
      <c r="S565">
        <v>683</v>
      </c>
      <c r="T565">
        <v>2943.73</v>
      </c>
      <c r="U565">
        <v>46268.655147939811</v>
      </c>
      <c r="V565" t="s">
        <v>66</v>
      </c>
    </row>
    <row r="566" spans="1:22" x14ac:dyDescent="0.2">
      <c r="A566">
        <v>1000003984</v>
      </c>
      <c r="B566" t="s">
        <v>154</v>
      </c>
      <c r="C566">
        <v>1000002041</v>
      </c>
      <c r="D566" t="s">
        <v>156</v>
      </c>
      <c r="E566" t="s">
        <v>38</v>
      </c>
      <c r="F566">
        <v>2026</v>
      </c>
      <c r="G566">
        <v>7</v>
      </c>
      <c r="H566">
        <v>0</v>
      </c>
      <c r="I566" t="s">
        <v>39</v>
      </c>
      <c r="J566" t="s">
        <v>47</v>
      </c>
      <c r="L566" t="s">
        <v>51</v>
      </c>
      <c r="M566" t="s">
        <v>42</v>
      </c>
      <c r="O566" t="s">
        <v>48</v>
      </c>
      <c r="P566" t="s">
        <v>52</v>
      </c>
      <c r="Q566" t="s">
        <v>45</v>
      </c>
      <c r="R566">
        <v>0.09</v>
      </c>
      <c r="S566">
        <v>1504</v>
      </c>
      <c r="T566">
        <v>135.36000000000001</v>
      </c>
      <c r="U566">
        <v>46268.655147939811</v>
      </c>
      <c r="V566" t="s">
        <v>53</v>
      </c>
    </row>
    <row r="567" spans="1:22" x14ac:dyDescent="0.2">
      <c r="A567">
        <v>1000003984</v>
      </c>
      <c r="B567" t="s">
        <v>154</v>
      </c>
      <c r="C567">
        <v>1000002041</v>
      </c>
      <c r="D567" t="s">
        <v>156</v>
      </c>
      <c r="E567" t="s">
        <v>38</v>
      </c>
      <c r="F567">
        <v>2026</v>
      </c>
      <c r="G567">
        <v>7</v>
      </c>
      <c r="H567">
        <v>0</v>
      </c>
      <c r="I567" t="s">
        <v>39</v>
      </c>
      <c r="J567" t="s">
        <v>47</v>
      </c>
      <c r="L567" t="s">
        <v>64</v>
      </c>
      <c r="M567" t="s">
        <v>42</v>
      </c>
      <c r="O567" t="s">
        <v>48</v>
      </c>
      <c r="P567" t="s">
        <v>49</v>
      </c>
      <c r="Q567" t="s">
        <v>45</v>
      </c>
      <c r="R567">
        <v>3.91</v>
      </c>
      <c r="S567">
        <v>103</v>
      </c>
      <c r="T567">
        <v>402.73</v>
      </c>
      <c r="U567">
        <v>46268.655147939811</v>
      </c>
      <c r="V567" t="s">
        <v>66</v>
      </c>
    </row>
    <row r="568" spans="1:22" x14ac:dyDescent="0.2">
      <c r="A568">
        <v>1000003984</v>
      </c>
      <c r="B568" t="s">
        <v>154</v>
      </c>
      <c r="C568">
        <v>1000002041</v>
      </c>
      <c r="D568" t="s">
        <v>156</v>
      </c>
      <c r="E568" t="s">
        <v>38</v>
      </c>
      <c r="F568">
        <v>2026</v>
      </c>
      <c r="G568">
        <v>7</v>
      </c>
      <c r="H568">
        <v>0</v>
      </c>
      <c r="I568" t="s">
        <v>39</v>
      </c>
      <c r="J568" t="s">
        <v>47</v>
      </c>
      <c r="L568" t="s">
        <v>54</v>
      </c>
      <c r="M568" t="s">
        <v>42</v>
      </c>
      <c r="O568" t="s">
        <v>48</v>
      </c>
      <c r="P568" t="s">
        <v>55</v>
      </c>
      <c r="Q568" t="s">
        <v>45</v>
      </c>
      <c r="R568">
        <v>0.45</v>
      </c>
      <c r="S568">
        <v>1504</v>
      </c>
      <c r="T568">
        <v>676.8</v>
      </c>
      <c r="U568">
        <v>46268.655147939811</v>
      </c>
      <c r="V568" t="s">
        <v>66</v>
      </c>
    </row>
    <row r="569" spans="1:22" x14ac:dyDescent="0.2">
      <c r="A569">
        <v>1000003984</v>
      </c>
      <c r="B569" t="s">
        <v>154</v>
      </c>
      <c r="C569">
        <v>1000002041</v>
      </c>
      <c r="D569" t="s">
        <v>156</v>
      </c>
      <c r="E569" t="s">
        <v>38</v>
      </c>
      <c r="F569">
        <v>2026</v>
      </c>
      <c r="G569">
        <v>7</v>
      </c>
      <c r="H569">
        <v>0</v>
      </c>
      <c r="I569" t="s">
        <v>39</v>
      </c>
      <c r="J569" t="s">
        <v>40</v>
      </c>
      <c r="L569" t="s">
        <v>64</v>
      </c>
      <c r="M569" t="s">
        <v>56</v>
      </c>
      <c r="O569" t="s">
        <v>67</v>
      </c>
      <c r="P569" t="s">
        <v>44</v>
      </c>
      <c r="Q569" t="s">
        <v>45</v>
      </c>
      <c r="R569">
        <v>0.3</v>
      </c>
      <c r="S569">
        <v>85</v>
      </c>
      <c r="T569">
        <v>25.5</v>
      </c>
      <c r="U569">
        <v>46268.655147939811</v>
      </c>
      <c r="V569" t="s">
        <v>58</v>
      </c>
    </row>
    <row r="570" spans="1:22" x14ac:dyDescent="0.2">
      <c r="A570">
        <v>1000003984</v>
      </c>
      <c r="B570" t="s">
        <v>154</v>
      </c>
      <c r="C570">
        <v>1000002041</v>
      </c>
      <c r="D570" t="s">
        <v>156</v>
      </c>
      <c r="E570" t="s">
        <v>38</v>
      </c>
      <c r="F570">
        <v>2026</v>
      </c>
      <c r="G570">
        <v>7</v>
      </c>
      <c r="H570">
        <v>0</v>
      </c>
      <c r="I570" t="s">
        <v>39</v>
      </c>
      <c r="J570" t="s">
        <v>40</v>
      </c>
      <c r="L570" t="s">
        <v>65</v>
      </c>
      <c r="M570" t="s">
        <v>56</v>
      </c>
      <c r="O570" t="s">
        <v>67</v>
      </c>
      <c r="P570" t="s">
        <v>44</v>
      </c>
      <c r="Q570" t="s">
        <v>45</v>
      </c>
      <c r="R570">
        <v>2.63</v>
      </c>
      <c r="S570">
        <v>614</v>
      </c>
      <c r="T570">
        <v>1614.82</v>
      </c>
      <c r="U570">
        <v>46268.655147939811</v>
      </c>
      <c r="V570" t="s">
        <v>68</v>
      </c>
    </row>
    <row r="571" spans="1:22" x14ac:dyDescent="0.2">
      <c r="A571">
        <v>1000003984</v>
      </c>
      <c r="B571" t="s">
        <v>154</v>
      </c>
      <c r="C571">
        <v>1000002041</v>
      </c>
      <c r="D571" t="s">
        <v>156</v>
      </c>
      <c r="E571" t="s">
        <v>38</v>
      </c>
      <c r="F571">
        <v>2026</v>
      </c>
      <c r="G571">
        <v>7</v>
      </c>
      <c r="H571">
        <v>0</v>
      </c>
      <c r="I571" t="s">
        <v>39</v>
      </c>
      <c r="J571" t="s">
        <v>47</v>
      </c>
      <c r="L571" t="s">
        <v>41</v>
      </c>
      <c r="M571" t="s">
        <v>56</v>
      </c>
      <c r="O571" t="s">
        <v>57</v>
      </c>
      <c r="P571" t="s">
        <v>44</v>
      </c>
      <c r="Q571" t="s">
        <v>45</v>
      </c>
      <c r="R571">
        <v>0.125</v>
      </c>
      <c r="S571">
        <v>683</v>
      </c>
      <c r="T571">
        <v>85.37</v>
      </c>
      <c r="U571">
        <v>46268.655147939811</v>
      </c>
      <c r="V571" t="s">
        <v>58</v>
      </c>
    </row>
    <row r="572" spans="1:22" x14ac:dyDescent="0.2">
      <c r="A572">
        <v>1000003984</v>
      </c>
      <c r="B572" t="s">
        <v>154</v>
      </c>
      <c r="C572">
        <v>1000002041</v>
      </c>
      <c r="D572" t="s">
        <v>156</v>
      </c>
      <c r="E572" t="s">
        <v>38</v>
      </c>
      <c r="F572">
        <v>2026</v>
      </c>
      <c r="G572">
        <v>7</v>
      </c>
      <c r="H572">
        <v>0</v>
      </c>
      <c r="I572" t="s">
        <v>39</v>
      </c>
      <c r="J572" t="s">
        <v>47</v>
      </c>
      <c r="L572" t="s">
        <v>64</v>
      </c>
      <c r="M572" t="s">
        <v>56</v>
      </c>
      <c r="O572" t="s">
        <v>57</v>
      </c>
      <c r="P572" t="s">
        <v>44</v>
      </c>
      <c r="Q572" t="s">
        <v>45</v>
      </c>
      <c r="R572">
        <v>0.52500000000000002</v>
      </c>
      <c r="S572">
        <v>103</v>
      </c>
      <c r="T572">
        <v>54.07</v>
      </c>
      <c r="U572">
        <v>46268.655147939811</v>
      </c>
      <c r="V572" t="s">
        <v>58</v>
      </c>
    </row>
    <row r="573" spans="1:22" x14ac:dyDescent="0.2">
      <c r="A573">
        <v>1000003984</v>
      </c>
      <c r="B573" t="s">
        <v>154</v>
      </c>
      <c r="C573">
        <v>1000002041</v>
      </c>
      <c r="D573" t="s">
        <v>156</v>
      </c>
      <c r="E573" t="s">
        <v>38</v>
      </c>
      <c r="F573">
        <v>2026</v>
      </c>
      <c r="G573">
        <v>7</v>
      </c>
      <c r="H573">
        <v>0</v>
      </c>
      <c r="I573" t="s">
        <v>39</v>
      </c>
      <c r="J573" t="s">
        <v>47</v>
      </c>
      <c r="L573" t="s">
        <v>65</v>
      </c>
      <c r="M573" t="s">
        <v>56</v>
      </c>
      <c r="O573" t="s">
        <v>57</v>
      </c>
      <c r="P573" t="s">
        <v>44</v>
      </c>
      <c r="Q573" t="s">
        <v>45</v>
      </c>
      <c r="R573">
        <v>4.4349999999999996</v>
      </c>
      <c r="S573">
        <v>718</v>
      </c>
      <c r="T573">
        <v>3184.33</v>
      </c>
      <c r="U573">
        <v>46268.655147939811</v>
      </c>
      <c r="V573" t="s">
        <v>58</v>
      </c>
    </row>
    <row r="574" spans="1:22" x14ac:dyDescent="0.2">
      <c r="A574">
        <v>1000003984</v>
      </c>
      <c r="B574" t="s">
        <v>154</v>
      </c>
      <c r="C574">
        <v>9000020500</v>
      </c>
      <c r="D574" t="s">
        <v>157</v>
      </c>
      <c r="E574" t="s">
        <v>38</v>
      </c>
      <c r="F574">
        <v>2026</v>
      </c>
      <c r="G574">
        <v>7</v>
      </c>
      <c r="H574">
        <v>0</v>
      </c>
      <c r="I574" t="s">
        <v>39</v>
      </c>
      <c r="J574" t="s">
        <v>40</v>
      </c>
      <c r="L574" t="s">
        <v>41</v>
      </c>
      <c r="M574" t="s">
        <v>42</v>
      </c>
      <c r="O574" t="s">
        <v>43</v>
      </c>
      <c r="P574" t="s">
        <v>44</v>
      </c>
      <c r="Q574" t="s">
        <v>45</v>
      </c>
      <c r="R574">
        <v>2.54</v>
      </c>
      <c r="S574">
        <v>237</v>
      </c>
      <c r="T574">
        <v>601.98</v>
      </c>
      <c r="U574">
        <v>46268.655147939811</v>
      </c>
      <c r="V574" t="s">
        <v>72</v>
      </c>
    </row>
    <row r="575" spans="1:22" x14ac:dyDescent="0.2">
      <c r="A575">
        <v>1000003984</v>
      </c>
      <c r="B575" t="s">
        <v>154</v>
      </c>
      <c r="C575">
        <v>9000020500</v>
      </c>
      <c r="D575" t="s">
        <v>157</v>
      </c>
      <c r="E575" t="s">
        <v>38</v>
      </c>
      <c r="F575">
        <v>2026</v>
      </c>
      <c r="G575">
        <v>7</v>
      </c>
      <c r="H575">
        <v>0</v>
      </c>
      <c r="I575" t="s">
        <v>39</v>
      </c>
      <c r="J575" t="s">
        <v>40</v>
      </c>
      <c r="L575" t="s">
        <v>64</v>
      </c>
      <c r="M575" t="s">
        <v>42</v>
      </c>
      <c r="O575" t="s">
        <v>43</v>
      </c>
      <c r="P575" t="s">
        <v>44</v>
      </c>
      <c r="Q575" t="s">
        <v>45</v>
      </c>
      <c r="R575">
        <v>2.2400000000000002</v>
      </c>
      <c r="S575">
        <v>107</v>
      </c>
      <c r="T575">
        <v>239.68</v>
      </c>
      <c r="U575">
        <v>46268.655147939811</v>
      </c>
      <c r="V575" t="s">
        <v>72</v>
      </c>
    </row>
    <row r="576" spans="1:22" x14ac:dyDescent="0.2">
      <c r="A576">
        <v>1000003984</v>
      </c>
      <c r="B576" t="s">
        <v>154</v>
      </c>
      <c r="C576">
        <v>9000020500</v>
      </c>
      <c r="D576" t="s">
        <v>157</v>
      </c>
      <c r="E576" t="s">
        <v>38</v>
      </c>
      <c r="F576">
        <v>2026</v>
      </c>
      <c r="G576">
        <v>7</v>
      </c>
      <c r="H576">
        <v>0</v>
      </c>
      <c r="I576" t="s">
        <v>39</v>
      </c>
      <c r="J576" t="s">
        <v>40</v>
      </c>
      <c r="L576" t="s">
        <v>65</v>
      </c>
      <c r="M576" t="s">
        <v>42</v>
      </c>
      <c r="O576" t="s">
        <v>43</v>
      </c>
      <c r="P576" t="s">
        <v>44</v>
      </c>
      <c r="Q576" t="s">
        <v>45</v>
      </c>
      <c r="R576">
        <v>0.42</v>
      </c>
      <c r="S576">
        <v>404</v>
      </c>
      <c r="T576">
        <v>169.68</v>
      </c>
      <c r="U576">
        <v>46268.655147939811</v>
      </c>
      <c r="V576" t="s">
        <v>72</v>
      </c>
    </row>
    <row r="577" spans="1:22" x14ac:dyDescent="0.2">
      <c r="A577">
        <v>1000003984</v>
      </c>
      <c r="B577" t="s">
        <v>154</v>
      </c>
      <c r="C577">
        <v>9000020500</v>
      </c>
      <c r="D577" t="s">
        <v>157</v>
      </c>
      <c r="E577" t="s">
        <v>38</v>
      </c>
      <c r="F577">
        <v>2026</v>
      </c>
      <c r="G577">
        <v>7</v>
      </c>
      <c r="H577">
        <v>0</v>
      </c>
      <c r="I577" t="s">
        <v>39</v>
      </c>
      <c r="J577" t="s">
        <v>47</v>
      </c>
      <c r="L577" t="s">
        <v>41</v>
      </c>
      <c r="M577" t="s">
        <v>42</v>
      </c>
      <c r="O577" t="s">
        <v>48</v>
      </c>
      <c r="P577" t="s">
        <v>49</v>
      </c>
      <c r="Q577" t="s">
        <v>45</v>
      </c>
      <c r="R577">
        <v>4.3099999999999996</v>
      </c>
      <c r="S577">
        <v>263</v>
      </c>
      <c r="T577">
        <v>1133.53</v>
      </c>
      <c r="U577">
        <v>46268.655147939811</v>
      </c>
      <c r="V577" t="s">
        <v>66</v>
      </c>
    </row>
    <row r="578" spans="1:22" x14ac:dyDescent="0.2">
      <c r="A578">
        <v>1000003984</v>
      </c>
      <c r="B578" t="s">
        <v>154</v>
      </c>
      <c r="C578">
        <v>9000020500</v>
      </c>
      <c r="D578" t="s">
        <v>157</v>
      </c>
      <c r="E578" t="s">
        <v>38</v>
      </c>
      <c r="F578">
        <v>2026</v>
      </c>
      <c r="G578">
        <v>7</v>
      </c>
      <c r="H578">
        <v>0</v>
      </c>
      <c r="I578" t="s">
        <v>39</v>
      </c>
      <c r="J578" t="s">
        <v>47</v>
      </c>
      <c r="L578" t="s">
        <v>51</v>
      </c>
      <c r="M578" t="s">
        <v>42</v>
      </c>
      <c r="O578" t="s">
        <v>48</v>
      </c>
      <c r="P578" t="s">
        <v>52</v>
      </c>
      <c r="Q578" t="s">
        <v>45</v>
      </c>
      <c r="R578">
        <v>0.09</v>
      </c>
      <c r="S578">
        <v>813</v>
      </c>
      <c r="T578">
        <v>73.17</v>
      </c>
      <c r="U578">
        <v>46268.655147939811</v>
      </c>
      <c r="V578" t="s">
        <v>53</v>
      </c>
    </row>
    <row r="579" spans="1:22" x14ac:dyDescent="0.2">
      <c r="A579">
        <v>1000003984</v>
      </c>
      <c r="B579" t="s">
        <v>154</v>
      </c>
      <c r="C579">
        <v>9000020500</v>
      </c>
      <c r="D579" t="s">
        <v>157</v>
      </c>
      <c r="E579" t="s">
        <v>38</v>
      </c>
      <c r="F579">
        <v>2026</v>
      </c>
      <c r="G579">
        <v>7</v>
      </c>
      <c r="H579">
        <v>0</v>
      </c>
      <c r="I579" t="s">
        <v>39</v>
      </c>
      <c r="J579" t="s">
        <v>47</v>
      </c>
      <c r="L579" t="s">
        <v>64</v>
      </c>
      <c r="M579" t="s">
        <v>42</v>
      </c>
      <c r="O579" t="s">
        <v>48</v>
      </c>
      <c r="P579" t="s">
        <v>49</v>
      </c>
      <c r="Q579" t="s">
        <v>45</v>
      </c>
      <c r="R579">
        <v>3.91</v>
      </c>
      <c r="S579">
        <v>134</v>
      </c>
      <c r="T579">
        <v>523.94000000000005</v>
      </c>
      <c r="U579">
        <v>46268.655147939811</v>
      </c>
      <c r="V579" t="s">
        <v>66</v>
      </c>
    </row>
    <row r="580" spans="1:22" x14ac:dyDescent="0.2">
      <c r="A580">
        <v>1000003984</v>
      </c>
      <c r="B580" t="s">
        <v>154</v>
      </c>
      <c r="C580">
        <v>9000020500</v>
      </c>
      <c r="D580" t="s">
        <v>157</v>
      </c>
      <c r="E580" t="s">
        <v>38</v>
      </c>
      <c r="F580">
        <v>2026</v>
      </c>
      <c r="G580">
        <v>7</v>
      </c>
      <c r="H580">
        <v>0</v>
      </c>
      <c r="I580" t="s">
        <v>39</v>
      </c>
      <c r="J580" t="s">
        <v>47</v>
      </c>
      <c r="L580" t="s">
        <v>54</v>
      </c>
      <c r="M580" t="s">
        <v>42</v>
      </c>
      <c r="O580" t="s">
        <v>48</v>
      </c>
      <c r="P580" t="s">
        <v>55</v>
      </c>
      <c r="Q580" t="s">
        <v>45</v>
      </c>
      <c r="R580">
        <v>0.45</v>
      </c>
      <c r="S580">
        <v>813</v>
      </c>
      <c r="T580">
        <v>365.85</v>
      </c>
      <c r="U580">
        <v>46268.655147939811</v>
      </c>
      <c r="V580" t="s">
        <v>66</v>
      </c>
    </row>
    <row r="581" spans="1:22" x14ac:dyDescent="0.2">
      <c r="A581">
        <v>1000003984</v>
      </c>
      <c r="B581" t="s">
        <v>154</v>
      </c>
      <c r="C581">
        <v>9000020500</v>
      </c>
      <c r="D581" t="s">
        <v>157</v>
      </c>
      <c r="E581" t="s">
        <v>38</v>
      </c>
      <c r="F581">
        <v>2026</v>
      </c>
      <c r="G581">
        <v>7</v>
      </c>
      <c r="H581">
        <v>0</v>
      </c>
      <c r="I581" t="s">
        <v>39</v>
      </c>
      <c r="J581" t="s">
        <v>40</v>
      </c>
      <c r="L581" t="s">
        <v>64</v>
      </c>
      <c r="M581" t="s">
        <v>56</v>
      </c>
      <c r="O581" t="s">
        <v>67</v>
      </c>
      <c r="P581" t="s">
        <v>44</v>
      </c>
      <c r="Q581" t="s">
        <v>45</v>
      </c>
      <c r="R581">
        <v>0.3</v>
      </c>
      <c r="S581">
        <v>107</v>
      </c>
      <c r="T581">
        <v>32.1</v>
      </c>
      <c r="U581">
        <v>46268.655147939811</v>
      </c>
      <c r="V581" t="s">
        <v>58</v>
      </c>
    </row>
    <row r="582" spans="1:22" x14ac:dyDescent="0.2">
      <c r="A582">
        <v>1000003984</v>
      </c>
      <c r="B582" t="s">
        <v>154</v>
      </c>
      <c r="C582">
        <v>9000020500</v>
      </c>
      <c r="D582" t="s">
        <v>157</v>
      </c>
      <c r="E582" t="s">
        <v>38</v>
      </c>
      <c r="F582">
        <v>2026</v>
      </c>
      <c r="G582">
        <v>7</v>
      </c>
      <c r="H582">
        <v>0</v>
      </c>
      <c r="I582" t="s">
        <v>39</v>
      </c>
      <c r="J582" t="s">
        <v>40</v>
      </c>
      <c r="L582" t="s">
        <v>65</v>
      </c>
      <c r="M582" t="s">
        <v>56</v>
      </c>
      <c r="O582" t="s">
        <v>67</v>
      </c>
      <c r="P582" t="s">
        <v>44</v>
      </c>
      <c r="Q582" t="s">
        <v>45</v>
      </c>
      <c r="R582">
        <v>2.12</v>
      </c>
      <c r="S582">
        <v>404</v>
      </c>
      <c r="T582">
        <v>856.48</v>
      </c>
      <c r="U582">
        <v>46268.655147939811</v>
      </c>
      <c r="V582" t="s">
        <v>73</v>
      </c>
    </row>
    <row r="583" spans="1:22" x14ac:dyDescent="0.2">
      <c r="A583">
        <v>1000003984</v>
      </c>
      <c r="B583" t="s">
        <v>154</v>
      </c>
      <c r="C583">
        <v>9000020500</v>
      </c>
      <c r="D583" t="s">
        <v>157</v>
      </c>
      <c r="E583" t="s">
        <v>38</v>
      </c>
      <c r="F583">
        <v>2026</v>
      </c>
      <c r="G583">
        <v>7</v>
      </c>
      <c r="H583">
        <v>0</v>
      </c>
      <c r="I583" t="s">
        <v>39</v>
      </c>
      <c r="J583" t="s">
        <v>47</v>
      </c>
      <c r="L583" t="s">
        <v>41</v>
      </c>
      <c r="M583" t="s">
        <v>56</v>
      </c>
      <c r="O583" t="s">
        <v>57</v>
      </c>
      <c r="P583" t="s">
        <v>44</v>
      </c>
      <c r="Q583" t="s">
        <v>45</v>
      </c>
      <c r="R583">
        <v>0.125</v>
      </c>
      <c r="S583">
        <v>263</v>
      </c>
      <c r="T583">
        <v>32.869999999999997</v>
      </c>
      <c r="U583">
        <v>46268.655147939811</v>
      </c>
      <c r="V583" t="s">
        <v>58</v>
      </c>
    </row>
    <row r="584" spans="1:22" x14ac:dyDescent="0.2">
      <c r="A584">
        <v>1000003984</v>
      </c>
      <c r="B584" t="s">
        <v>154</v>
      </c>
      <c r="C584">
        <v>9000020500</v>
      </c>
      <c r="D584" t="s">
        <v>157</v>
      </c>
      <c r="E584" t="s">
        <v>38</v>
      </c>
      <c r="F584">
        <v>2026</v>
      </c>
      <c r="G584">
        <v>7</v>
      </c>
      <c r="H584">
        <v>0</v>
      </c>
      <c r="I584" t="s">
        <v>39</v>
      </c>
      <c r="J584" t="s">
        <v>47</v>
      </c>
      <c r="L584" t="s">
        <v>64</v>
      </c>
      <c r="M584" t="s">
        <v>56</v>
      </c>
      <c r="O584" t="s">
        <v>57</v>
      </c>
      <c r="P584" t="s">
        <v>44</v>
      </c>
      <c r="Q584" t="s">
        <v>45</v>
      </c>
      <c r="R584">
        <v>0.52500000000000002</v>
      </c>
      <c r="S584">
        <v>134</v>
      </c>
      <c r="T584">
        <v>70.349999999999994</v>
      </c>
      <c r="U584">
        <v>46268.655147939811</v>
      </c>
      <c r="V584" t="s">
        <v>58</v>
      </c>
    </row>
    <row r="585" spans="1:22" x14ac:dyDescent="0.2">
      <c r="A585">
        <v>1000003984</v>
      </c>
      <c r="B585" t="s">
        <v>154</v>
      </c>
      <c r="C585">
        <v>9000020500</v>
      </c>
      <c r="D585" t="s">
        <v>157</v>
      </c>
      <c r="E585" t="s">
        <v>38</v>
      </c>
      <c r="F585">
        <v>2026</v>
      </c>
      <c r="G585">
        <v>7</v>
      </c>
      <c r="H585">
        <v>0</v>
      </c>
      <c r="I585" t="s">
        <v>39</v>
      </c>
      <c r="J585" t="s">
        <v>47</v>
      </c>
      <c r="L585" t="s">
        <v>65</v>
      </c>
      <c r="M585" t="s">
        <v>56</v>
      </c>
      <c r="O585" t="s">
        <v>57</v>
      </c>
      <c r="P585" t="s">
        <v>44</v>
      </c>
      <c r="Q585" t="s">
        <v>45</v>
      </c>
      <c r="R585">
        <v>4.4349999999999996</v>
      </c>
      <c r="S585">
        <v>416</v>
      </c>
      <c r="T585">
        <v>1844.96</v>
      </c>
      <c r="U585">
        <v>46268.655147939811</v>
      </c>
      <c r="V585" t="s">
        <v>58</v>
      </c>
    </row>
    <row r="586" spans="1:22" x14ac:dyDescent="0.2">
      <c r="A586">
        <v>1000003984</v>
      </c>
      <c r="B586" t="s">
        <v>154</v>
      </c>
      <c r="C586">
        <v>1000002039</v>
      </c>
      <c r="D586" t="s">
        <v>158</v>
      </c>
      <c r="E586" t="s">
        <v>38</v>
      </c>
      <c r="F586">
        <v>2026</v>
      </c>
      <c r="G586">
        <v>7</v>
      </c>
      <c r="H586">
        <v>0</v>
      </c>
      <c r="I586" t="s">
        <v>39</v>
      </c>
      <c r="J586" t="s">
        <v>40</v>
      </c>
      <c r="L586" t="s">
        <v>41</v>
      </c>
      <c r="M586" t="s">
        <v>42</v>
      </c>
      <c r="O586" t="s">
        <v>43</v>
      </c>
      <c r="P586" t="s">
        <v>44</v>
      </c>
      <c r="Q586" t="s">
        <v>45</v>
      </c>
      <c r="R586">
        <v>2.54</v>
      </c>
      <c r="S586">
        <v>195</v>
      </c>
      <c r="T586">
        <v>495.3</v>
      </c>
      <c r="U586">
        <v>46268.655147939811</v>
      </c>
      <c r="V586" t="s">
        <v>72</v>
      </c>
    </row>
    <row r="587" spans="1:22" x14ac:dyDescent="0.2">
      <c r="A587">
        <v>1000003984</v>
      </c>
      <c r="B587" t="s">
        <v>154</v>
      </c>
      <c r="C587">
        <v>1000002039</v>
      </c>
      <c r="D587" t="s">
        <v>158</v>
      </c>
      <c r="E587" t="s">
        <v>38</v>
      </c>
      <c r="F587">
        <v>2026</v>
      </c>
      <c r="G587">
        <v>7</v>
      </c>
      <c r="H587">
        <v>0</v>
      </c>
      <c r="I587" t="s">
        <v>39</v>
      </c>
      <c r="J587" t="s">
        <v>40</v>
      </c>
      <c r="L587" t="s">
        <v>64</v>
      </c>
      <c r="M587" t="s">
        <v>42</v>
      </c>
      <c r="O587" t="s">
        <v>43</v>
      </c>
      <c r="P587" t="s">
        <v>44</v>
      </c>
      <c r="Q587" t="s">
        <v>45</v>
      </c>
      <c r="R587">
        <v>2.2400000000000002</v>
      </c>
      <c r="S587">
        <v>146</v>
      </c>
      <c r="T587">
        <v>327.04000000000002</v>
      </c>
      <c r="U587">
        <v>46268.655147939811</v>
      </c>
      <c r="V587" t="s">
        <v>72</v>
      </c>
    </row>
    <row r="588" spans="1:22" x14ac:dyDescent="0.2">
      <c r="A588">
        <v>1000003984</v>
      </c>
      <c r="B588" t="s">
        <v>154</v>
      </c>
      <c r="C588">
        <v>1000002039</v>
      </c>
      <c r="D588" t="s">
        <v>158</v>
      </c>
      <c r="E588" t="s">
        <v>38</v>
      </c>
      <c r="F588">
        <v>2026</v>
      </c>
      <c r="G588">
        <v>7</v>
      </c>
      <c r="H588">
        <v>0</v>
      </c>
      <c r="I588" t="s">
        <v>39</v>
      </c>
      <c r="J588" t="s">
        <v>40</v>
      </c>
      <c r="L588" t="s">
        <v>65</v>
      </c>
      <c r="M588" t="s">
        <v>42</v>
      </c>
      <c r="O588" t="s">
        <v>43</v>
      </c>
      <c r="P588" t="s">
        <v>44</v>
      </c>
      <c r="Q588" t="s">
        <v>45</v>
      </c>
      <c r="R588">
        <v>0.42</v>
      </c>
      <c r="S588">
        <v>556</v>
      </c>
      <c r="T588">
        <v>233.52</v>
      </c>
      <c r="U588">
        <v>46268.655147939811</v>
      </c>
      <c r="V588" t="s">
        <v>72</v>
      </c>
    </row>
    <row r="589" spans="1:22" x14ac:dyDescent="0.2">
      <c r="A589">
        <v>1000003984</v>
      </c>
      <c r="B589" t="s">
        <v>154</v>
      </c>
      <c r="C589">
        <v>1000002039</v>
      </c>
      <c r="D589" t="s">
        <v>158</v>
      </c>
      <c r="E589" t="s">
        <v>38</v>
      </c>
      <c r="F589">
        <v>2026</v>
      </c>
      <c r="G589">
        <v>7</v>
      </c>
      <c r="H589">
        <v>0</v>
      </c>
      <c r="I589" t="s">
        <v>39</v>
      </c>
      <c r="J589" t="s">
        <v>47</v>
      </c>
      <c r="L589" t="s">
        <v>41</v>
      </c>
      <c r="M589" t="s">
        <v>42</v>
      </c>
      <c r="O589" t="s">
        <v>48</v>
      </c>
      <c r="P589" t="s">
        <v>49</v>
      </c>
      <c r="Q589" t="s">
        <v>45</v>
      </c>
      <c r="R589">
        <v>4.3099999999999996</v>
      </c>
      <c r="S589">
        <v>278</v>
      </c>
      <c r="T589">
        <v>1198.18</v>
      </c>
      <c r="U589">
        <v>46268.655147939811</v>
      </c>
      <c r="V589" t="s">
        <v>66</v>
      </c>
    </row>
    <row r="590" spans="1:22" x14ac:dyDescent="0.2">
      <c r="A590">
        <v>1000003984</v>
      </c>
      <c r="B590" t="s">
        <v>154</v>
      </c>
      <c r="C590">
        <v>1000002039</v>
      </c>
      <c r="D590" t="s">
        <v>158</v>
      </c>
      <c r="E590" t="s">
        <v>38</v>
      </c>
      <c r="F590">
        <v>2026</v>
      </c>
      <c r="G590">
        <v>7</v>
      </c>
      <c r="H590">
        <v>0</v>
      </c>
      <c r="I590" t="s">
        <v>39</v>
      </c>
      <c r="J590" t="s">
        <v>47</v>
      </c>
      <c r="L590" t="s">
        <v>51</v>
      </c>
      <c r="M590" t="s">
        <v>42</v>
      </c>
      <c r="O590" t="s">
        <v>48</v>
      </c>
      <c r="P590" t="s">
        <v>52</v>
      </c>
      <c r="Q590" t="s">
        <v>45</v>
      </c>
      <c r="R590">
        <v>0.09</v>
      </c>
      <c r="S590">
        <v>1147</v>
      </c>
      <c r="T590">
        <v>103.23</v>
      </c>
      <c r="U590">
        <v>46268.655147939811</v>
      </c>
      <c r="V590" t="s">
        <v>53</v>
      </c>
    </row>
    <row r="591" spans="1:22" x14ac:dyDescent="0.2">
      <c r="A591">
        <v>1000003984</v>
      </c>
      <c r="B591" t="s">
        <v>154</v>
      </c>
      <c r="C591">
        <v>1000002039</v>
      </c>
      <c r="D591" t="s">
        <v>158</v>
      </c>
      <c r="E591" t="s">
        <v>38</v>
      </c>
      <c r="F591">
        <v>2026</v>
      </c>
      <c r="G591">
        <v>7</v>
      </c>
      <c r="H591">
        <v>0</v>
      </c>
      <c r="I591" t="s">
        <v>39</v>
      </c>
      <c r="J591" t="s">
        <v>47</v>
      </c>
      <c r="L591" t="s">
        <v>64</v>
      </c>
      <c r="M591" t="s">
        <v>42</v>
      </c>
      <c r="O591" t="s">
        <v>48</v>
      </c>
      <c r="P591" t="s">
        <v>49</v>
      </c>
      <c r="Q591" t="s">
        <v>45</v>
      </c>
      <c r="R591">
        <v>3.91</v>
      </c>
      <c r="S591">
        <v>142</v>
      </c>
      <c r="T591">
        <v>555.22</v>
      </c>
      <c r="U591">
        <v>46268.655147939811</v>
      </c>
      <c r="V591" t="s">
        <v>66</v>
      </c>
    </row>
    <row r="592" spans="1:22" x14ac:dyDescent="0.2">
      <c r="A592">
        <v>1000003984</v>
      </c>
      <c r="B592" t="s">
        <v>154</v>
      </c>
      <c r="C592">
        <v>1000002039</v>
      </c>
      <c r="D592" t="s">
        <v>158</v>
      </c>
      <c r="E592" t="s">
        <v>38</v>
      </c>
      <c r="F592">
        <v>2026</v>
      </c>
      <c r="G592">
        <v>7</v>
      </c>
      <c r="H592">
        <v>0</v>
      </c>
      <c r="I592" t="s">
        <v>39</v>
      </c>
      <c r="J592" t="s">
        <v>47</v>
      </c>
      <c r="L592" t="s">
        <v>54</v>
      </c>
      <c r="M592" t="s">
        <v>42</v>
      </c>
      <c r="O592" t="s">
        <v>48</v>
      </c>
      <c r="P592" t="s">
        <v>55</v>
      </c>
      <c r="Q592" t="s">
        <v>45</v>
      </c>
      <c r="R592">
        <v>0.45</v>
      </c>
      <c r="S592">
        <v>1147</v>
      </c>
      <c r="T592">
        <v>516.15</v>
      </c>
      <c r="U592">
        <v>46268.655147939811</v>
      </c>
      <c r="V592" t="s">
        <v>66</v>
      </c>
    </row>
    <row r="593" spans="1:22" x14ac:dyDescent="0.2">
      <c r="A593">
        <v>1000003984</v>
      </c>
      <c r="B593" t="s">
        <v>154</v>
      </c>
      <c r="C593">
        <v>1000002039</v>
      </c>
      <c r="D593" t="s">
        <v>158</v>
      </c>
      <c r="E593" t="s">
        <v>38</v>
      </c>
      <c r="F593">
        <v>2026</v>
      </c>
      <c r="G593">
        <v>7</v>
      </c>
      <c r="H593">
        <v>0</v>
      </c>
      <c r="I593" t="s">
        <v>39</v>
      </c>
      <c r="J593" t="s">
        <v>40</v>
      </c>
      <c r="L593" t="s">
        <v>64</v>
      </c>
      <c r="M593" t="s">
        <v>56</v>
      </c>
      <c r="O593" t="s">
        <v>67</v>
      </c>
      <c r="P593" t="s">
        <v>44</v>
      </c>
      <c r="Q593" t="s">
        <v>45</v>
      </c>
      <c r="R593">
        <v>0.3</v>
      </c>
      <c r="S593">
        <v>146</v>
      </c>
      <c r="T593">
        <v>43.8</v>
      </c>
      <c r="U593">
        <v>46268.655147939811</v>
      </c>
      <c r="V593" t="s">
        <v>58</v>
      </c>
    </row>
    <row r="594" spans="1:22" x14ac:dyDescent="0.2">
      <c r="A594">
        <v>1000003984</v>
      </c>
      <c r="B594" t="s">
        <v>154</v>
      </c>
      <c r="C594">
        <v>1000002039</v>
      </c>
      <c r="D594" t="s">
        <v>158</v>
      </c>
      <c r="E594" t="s">
        <v>38</v>
      </c>
      <c r="F594">
        <v>2026</v>
      </c>
      <c r="G594">
        <v>7</v>
      </c>
      <c r="H594">
        <v>0</v>
      </c>
      <c r="I594" t="s">
        <v>39</v>
      </c>
      <c r="J594" t="s">
        <v>40</v>
      </c>
      <c r="L594" t="s">
        <v>65</v>
      </c>
      <c r="M594" t="s">
        <v>56</v>
      </c>
      <c r="O594" t="s">
        <v>67</v>
      </c>
      <c r="P594" t="s">
        <v>44</v>
      </c>
      <c r="Q594" t="s">
        <v>45</v>
      </c>
      <c r="R594">
        <v>2.12</v>
      </c>
      <c r="S594">
        <v>556</v>
      </c>
      <c r="T594">
        <v>1178.72</v>
      </c>
      <c r="U594">
        <v>46268.655147939811</v>
      </c>
      <c r="V594" t="s">
        <v>73</v>
      </c>
    </row>
    <row r="595" spans="1:22" x14ac:dyDescent="0.2">
      <c r="A595">
        <v>1000003984</v>
      </c>
      <c r="B595" t="s">
        <v>154</v>
      </c>
      <c r="C595">
        <v>1000002039</v>
      </c>
      <c r="D595" t="s">
        <v>158</v>
      </c>
      <c r="E595" t="s">
        <v>38</v>
      </c>
      <c r="F595">
        <v>2026</v>
      </c>
      <c r="G595">
        <v>7</v>
      </c>
      <c r="H595">
        <v>0</v>
      </c>
      <c r="I595" t="s">
        <v>39</v>
      </c>
      <c r="J595" t="s">
        <v>47</v>
      </c>
      <c r="L595" t="s">
        <v>41</v>
      </c>
      <c r="M595" t="s">
        <v>56</v>
      </c>
      <c r="O595" t="s">
        <v>57</v>
      </c>
      <c r="P595" t="s">
        <v>44</v>
      </c>
      <c r="Q595" t="s">
        <v>45</v>
      </c>
      <c r="R595">
        <v>0.125</v>
      </c>
      <c r="S595">
        <v>278</v>
      </c>
      <c r="T595">
        <v>34.75</v>
      </c>
      <c r="U595">
        <v>46268.655147939811</v>
      </c>
      <c r="V595" t="s">
        <v>58</v>
      </c>
    </row>
    <row r="596" spans="1:22" x14ac:dyDescent="0.2">
      <c r="A596">
        <v>1000003984</v>
      </c>
      <c r="B596" t="s">
        <v>154</v>
      </c>
      <c r="C596">
        <v>1000002039</v>
      </c>
      <c r="D596" t="s">
        <v>158</v>
      </c>
      <c r="E596" t="s">
        <v>38</v>
      </c>
      <c r="F596">
        <v>2026</v>
      </c>
      <c r="G596">
        <v>7</v>
      </c>
      <c r="H596">
        <v>0</v>
      </c>
      <c r="I596" t="s">
        <v>39</v>
      </c>
      <c r="J596" t="s">
        <v>47</v>
      </c>
      <c r="L596" t="s">
        <v>64</v>
      </c>
      <c r="M596" t="s">
        <v>56</v>
      </c>
      <c r="O596" t="s">
        <v>57</v>
      </c>
      <c r="P596" t="s">
        <v>44</v>
      </c>
      <c r="Q596" t="s">
        <v>45</v>
      </c>
      <c r="R596">
        <v>0.52500000000000002</v>
      </c>
      <c r="S596">
        <v>142</v>
      </c>
      <c r="T596">
        <v>74.55</v>
      </c>
      <c r="U596">
        <v>46268.655147939811</v>
      </c>
      <c r="V596" t="s">
        <v>58</v>
      </c>
    </row>
    <row r="597" spans="1:22" x14ac:dyDescent="0.2">
      <c r="A597">
        <v>1000003984</v>
      </c>
      <c r="B597" t="s">
        <v>154</v>
      </c>
      <c r="C597">
        <v>1000002039</v>
      </c>
      <c r="D597" t="s">
        <v>158</v>
      </c>
      <c r="E597" t="s">
        <v>38</v>
      </c>
      <c r="F597">
        <v>2026</v>
      </c>
      <c r="G597">
        <v>7</v>
      </c>
      <c r="H597">
        <v>0</v>
      </c>
      <c r="I597" t="s">
        <v>39</v>
      </c>
      <c r="J597" t="s">
        <v>47</v>
      </c>
      <c r="L597" t="s">
        <v>65</v>
      </c>
      <c r="M597" t="s">
        <v>56</v>
      </c>
      <c r="O597" t="s">
        <v>57</v>
      </c>
      <c r="P597" t="s">
        <v>44</v>
      </c>
      <c r="Q597" t="s">
        <v>45</v>
      </c>
      <c r="R597">
        <v>4.4349999999999996</v>
      </c>
      <c r="S597">
        <v>727</v>
      </c>
      <c r="T597">
        <v>3224.24</v>
      </c>
      <c r="U597">
        <v>46268.655147939811</v>
      </c>
      <c r="V597" t="s">
        <v>58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0B0C-CAFA-4D4E-8603-9620BEF9B942}">
  <dimension ref="A1:O2014"/>
  <sheetViews>
    <sheetView tabSelected="1" zoomScale="90" zoomScaleNormal="90" workbookViewId="0">
      <selection activeCell="D1" sqref="D1"/>
    </sheetView>
  </sheetViews>
  <sheetFormatPr defaultRowHeight="12.75" x14ac:dyDescent="0.2"/>
  <cols>
    <col min="1" max="1" width="16.140625" style="41" bestFit="1" customWidth="1"/>
    <col min="2" max="2" width="39.7109375" style="41" bestFit="1" customWidth="1"/>
    <col min="3" max="3" width="12" style="41" bestFit="1" customWidth="1"/>
    <col min="4" max="4" width="13.5703125" style="41" bestFit="1" customWidth="1"/>
    <col min="5" max="6" width="10" style="41" bestFit="1" customWidth="1"/>
    <col min="7" max="7" width="7.5703125" style="41" bestFit="1" customWidth="1"/>
    <col min="8" max="8" width="8.5703125" style="41" bestFit="1" customWidth="1"/>
    <col min="9" max="13" width="10" style="41" bestFit="1" customWidth="1"/>
    <col min="14" max="14" width="8.5703125" style="41" bestFit="1" customWidth="1"/>
    <col min="15" max="15" width="11" style="41" bestFit="1" customWidth="1"/>
    <col min="16" max="16384" width="9.140625" style="41"/>
  </cols>
  <sheetData>
    <row r="1" spans="1:15" ht="15" x14ac:dyDescent="0.25">
      <c r="A1" s="44" t="s">
        <v>11</v>
      </c>
      <c r="B1" s="45" t="s">
        <v>40</v>
      </c>
      <c r="D1" s="42" t="s">
        <v>162</v>
      </c>
    </row>
    <row r="2" spans="1:15" x14ac:dyDescent="0.2">
      <c r="A2" s="44" t="s">
        <v>14</v>
      </c>
      <c r="B2" s="45" t="s">
        <v>42</v>
      </c>
    </row>
    <row r="4" spans="1:15" x14ac:dyDescent="0.2">
      <c r="A4" s="44" t="s">
        <v>160</v>
      </c>
      <c r="B4" s="45"/>
      <c r="C4" s="44" t="s">
        <v>7</v>
      </c>
      <c r="D4" s="44" t="s">
        <v>8</v>
      </c>
      <c r="E4"/>
      <c r="F4"/>
      <c r="G4"/>
      <c r="H4"/>
      <c r="I4"/>
      <c r="J4"/>
      <c r="K4"/>
      <c r="L4"/>
      <c r="M4"/>
      <c r="N4"/>
      <c r="O4"/>
    </row>
    <row r="5" spans="1:15" x14ac:dyDescent="0.2">
      <c r="A5" s="45"/>
      <c r="B5" s="45"/>
      <c r="C5" s="45">
        <v>2026</v>
      </c>
      <c r="D5" s="45" t="s">
        <v>1</v>
      </c>
      <c r="E5"/>
      <c r="F5"/>
      <c r="G5"/>
      <c r="H5"/>
      <c r="I5"/>
      <c r="J5"/>
      <c r="K5"/>
      <c r="L5"/>
      <c r="M5"/>
      <c r="N5"/>
      <c r="O5"/>
    </row>
    <row r="6" spans="1:15" x14ac:dyDescent="0.2">
      <c r="A6" s="44" t="s">
        <v>4</v>
      </c>
      <c r="B6" s="44" t="s">
        <v>5</v>
      </c>
      <c r="C6" s="45">
        <v>7</v>
      </c>
      <c r="D6" s="45"/>
      <c r="E6"/>
      <c r="F6"/>
      <c r="G6"/>
      <c r="H6"/>
      <c r="I6"/>
      <c r="J6"/>
      <c r="K6"/>
      <c r="L6"/>
      <c r="M6"/>
      <c r="N6"/>
      <c r="O6"/>
    </row>
    <row r="7" spans="1:15" x14ac:dyDescent="0.2">
      <c r="A7" s="45">
        <v>1000001232</v>
      </c>
      <c r="B7" s="45" t="s">
        <v>90</v>
      </c>
      <c r="C7" s="46">
        <v>16</v>
      </c>
      <c r="D7" s="46">
        <v>16</v>
      </c>
      <c r="E7"/>
      <c r="F7"/>
      <c r="G7"/>
      <c r="H7"/>
      <c r="I7"/>
      <c r="J7"/>
      <c r="K7"/>
      <c r="L7"/>
      <c r="M7"/>
      <c r="N7"/>
      <c r="O7"/>
    </row>
    <row r="8" spans="1:15" x14ac:dyDescent="0.2">
      <c r="A8" s="45">
        <v>1000001301</v>
      </c>
      <c r="B8" s="45" t="s">
        <v>142</v>
      </c>
      <c r="C8" s="46">
        <v>1133</v>
      </c>
      <c r="D8" s="46">
        <v>1133</v>
      </c>
      <c r="E8"/>
      <c r="F8"/>
      <c r="G8"/>
      <c r="H8"/>
      <c r="I8"/>
      <c r="J8"/>
      <c r="K8"/>
      <c r="L8"/>
      <c r="M8"/>
      <c r="N8"/>
      <c r="O8"/>
    </row>
    <row r="9" spans="1:15" x14ac:dyDescent="0.2">
      <c r="A9" s="45">
        <v>1000001309</v>
      </c>
      <c r="B9" s="45" t="s">
        <v>77</v>
      </c>
      <c r="C9" s="46">
        <v>41</v>
      </c>
      <c r="D9" s="46">
        <v>41</v>
      </c>
      <c r="E9"/>
      <c r="F9"/>
      <c r="G9"/>
      <c r="H9"/>
      <c r="I9"/>
      <c r="J9"/>
      <c r="K9"/>
      <c r="L9"/>
      <c r="M9"/>
      <c r="N9"/>
      <c r="O9"/>
    </row>
    <row r="10" spans="1:15" x14ac:dyDescent="0.2">
      <c r="A10" s="45">
        <v>1000001314</v>
      </c>
      <c r="B10" s="45" t="s">
        <v>78</v>
      </c>
      <c r="C10" s="46">
        <v>409</v>
      </c>
      <c r="D10" s="46">
        <v>409</v>
      </c>
      <c r="E10"/>
      <c r="F10"/>
      <c r="G10"/>
      <c r="H10"/>
      <c r="I10"/>
      <c r="J10"/>
      <c r="K10"/>
      <c r="L10"/>
      <c r="M10"/>
      <c r="N10"/>
      <c r="O10"/>
    </row>
    <row r="11" spans="1:15" x14ac:dyDescent="0.2">
      <c r="A11" s="45">
        <v>1000001397</v>
      </c>
      <c r="B11" s="45" t="s">
        <v>75</v>
      </c>
      <c r="C11" s="46">
        <v>647</v>
      </c>
      <c r="D11" s="46">
        <v>647</v>
      </c>
      <c r="E11"/>
      <c r="F11"/>
      <c r="G11"/>
      <c r="H11"/>
      <c r="I11"/>
      <c r="J11"/>
      <c r="K11"/>
      <c r="L11"/>
      <c r="M11"/>
      <c r="N11"/>
      <c r="O11"/>
    </row>
    <row r="12" spans="1:15" x14ac:dyDescent="0.2">
      <c r="A12" s="45">
        <v>1000001723</v>
      </c>
      <c r="B12" s="45" t="s">
        <v>144</v>
      </c>
      <c r="C12" s="46">
        <v>1006</v>
      </c>
      <c r="D12" s="46">
        <v>1006</v>
      </c>
      <c r="E12"/>
      <c r="F12"/>
      <c r="G12"/>
      <c r="H12"/>
      <c r="I12"/>
      <c r="J12"/>
      <c r="K12"/>
      <c r="L12"/>
      <c r="M12"/>
      <c r="N12"/>
      <c r="O12"/>
    </row>
    <row r="13" spans="1:15" x14ac:dyDescent="0.2">
      <c r="A13" s="45">
        <v>1000001725</v>
      </c>
      <c r="B13" s="45" t="s">
        <v>152</v>
      </c>
      <c r="C13" s="46">
        <v>146</v>
      </c>
      <c r="D13" s="46">
        <v>146</v>
      </c>
      <c r="E13"/>
      <c r="F13"/>
      <c r="G13"/>
      <c r="H13"/>
      <c r="I13"/>
      <c r="J13"/>
      <c r="K13"/>
      <c r="L13"/>
      <c r="M13"/>
      <c r="N13"/>
      <c r="O13"/>
    </row>
    <row r="14" spans="1:15" x14ac:dyDescent="0.2">
      <c r="A14" s="45">
        <v>1000001728</v>
      </c>
      <c r="B14" s="45" t="s">
        <v>151</v>
      </c>
      <c r="C14" s="46">
        <v>754</v>
      </c>
      <c r="D14" s="46">
        <v>754</v>
      </c>
      <c r="E14"/>
      <c r="F14"/>
      <c r="G14"/>
      <c r="H14"/>
      <c r="I14"/>
      <c r="J14"/>
      <c r="K14"/>
      <c r="L14"/>
      <c r="M14"/>
      <c r="N14"/>
      <c r="O14"/>
    </row>
    <row r="15" spans="1:15" x14ac:dyDescent="0.2">
      <c r="A15" s="45">
        <v>1000001733</v>
      </c>
      <c r="B15" s="45" t="s">
        <v>150</v>
      </c>
      <c r="C15" s="46">
        <v>1433</v>
      </c>
      <c r="D15" s="46">
        <v>1433</v>
      </c>
      <c r="E15"/>
      <c r="F15"/>
      <c r="G15"/>
      <c r="H15"/>
      <c r="I15"/>
      <c r="J15"/>
      <c r="K15"/>
      <c r="L15"/>
      <c r="M15"/>
      <c r="N15"/>
      <c r="O15"/>
    </row>
    <row r="16" spans="1:15" x14ac:dyDescent="0.2">
      <c r="A16" s="45">
        <v>1000001934</v>
      </c>
      <c r="B16" s="45" t="s">
        <v>125</v>
      </c>
      <c r="C16" s="46">
        <v>583</v>
      </c>
      <c r="D16" s="46">
        <v>583</v>
      </c>
      <c r="E16"/>
      <c r="F16"/>
      <c r="G16"/>
      <c r="H16"/>
      <c r="I16"/>
      <c r="J16"/>
      <c r="K16"/>
      <c r="L16"/>
      <c r="M16"/>
      <c r="N16"/>
      <c r="O16"/>
    </row>
    <row r="17" spans="1:15" x14ac:dyDescent="0.2">
      <c r="A17" s="45">
        <v>1000001950</v>
      </c>
      <c r="B17" s="45" t="s">
        <v>83</v>
      </c>
      <c r="C17" s="46">
        <v>466</v>
      </c>
      <c r="D17" s="46">
        <v>466</v>
      </c>
      <c r="E17"/>
      <c r="F17"/>
      <c r="G17"/>
      <c r="H17"/>
      <c r="I17"/>
      <c r="J17"/>
      <c r="K17"/>
      <c r="L17"/>
      <c r="M17"/>
      <c r="N17"/>
      <c r="O17"/>
    </row>
    <row r="18" spans="1:15" x14ac:dyDescent="0.2">
      <c r="A18" s="45">
        <v>1000001992</v>
      </c>
      <c r="B18" s="45" t="s">
        <v>105</v>
      </c>
      <c r="C18" s="46">
        <v>812</v>
      </c>
      <c r="D18" s="46">
        <v>812</v>
      </c>
      <c r="E18"/>
      <c r="F18"/>
      <c r="G18"/>
      <c r="H18"/>
      <c r="I18"/>
      <c r="J18"/>
      <c r="K18"/>
      <c r="L18"/>
      <c r="M18"/>
      <c r="N18"/>
      <c r="O18"/>
    </row>
    <row r="19" spans="1:15" x14ac:dyDescent="0.2">
      <c r="A19" s="45">
        <v>1000001998</v>
      </c>
      <c r="B19" s="45" t="s">
        <v>107</v>
      </c>
      <c r="C19" s="46">
        <v>719</v>
      </c>
      <c r="D19" s="46">
        <v>719</v>
      </c>
      <c r="E19"/>
      <c r="F19"/>
      <c r="G19"/>
      <c r="H19"/>
      <c r="I19"/>
      <c r="J19"/>
      <c r="K19"/>
      <c r="L19"/>
      <c r="M19"/>
      <c r="N19"/>
      <c r="O19"/>
    </row>
    <row r="20" spans="1:15" x14ac:dyDescent="0.2">
      <c r="A20" s="45">
        <v>1000002002</v>
      </c>
      <c r="B20" s="45" t="s">
        <v>106</v>
      </c>
      <c r="C20" s="46">
        <v>33</v>
      </c>
      <c r="D20" s="46">
        <v>33</v>
      </c>
      <c r="E20"/>
      <c r="F20"/>
      <c r="G20"/>
      <c r="H20"/>
      <c r="I20"/>
      <c r="J20"/>
      <c r="K20"/>
      <c r="L20"/>
      <c r="M20"/>
      <c r="N20"/>
      <c r="O20"/>
    </row>
    <row r="21" spans="1:15" x14ac:dyDescent="0.2">
      <c r="A21" s="45">
        <v>1000002006</v>
      </c>
      <c r="B21" s="45" t="s">
        <v>104</v>
      </c>
      <c r="C21" s="46">
        <v>328</v>
      </c>
      <c r="D21" s="46">
        <v>328</v>
      </c>
      <c r="E21"/>
      <c r="F21"/>
      <c r="G21"/>
      <c r="H21"/>
      <c r="I21"/>
      <c r="J21"/>
      <c r="K21"/>
      <c r="L21"/>
      <c r="M21"/>
      <c r="N21"/>
      <c r="O21"/>
    </row>
    <row r="22" spans="1:15" x14ac:dyDescent="0.2">
      <c r="A22" s="45">
        <v>1000002022</v>
      </c>
      <c r="B22" s="45" t="s">
        <v>129</v>
      </c>
      <c r="C22" s="46">
        <v>183</v>
      </c>
      <c r="D22" s="46">
        <v>183</v>
      </c>
      <c r="E22"/>
      <c r="F22"/>
      <c r="G22"/>
      <c r="H22"/>
      <c r="I22"/>
      <c r="J22"/>
      <c r="K22"/>
      <c r="L22"/>
      <c r="M22"/>
      <c r="N22"/>
      <c r="O22"/>
    </row>
    <row r="23" spans="1:15" x14ac:dyDescent="0.2">
      <c r="A23" s="45">
        <v>1000002037</v>
      </c>
      <c r="B23" s="45" t="s">
        <v>155</v>
      </c>
      <c r="C23" s="46">
        <v>620</v>
      </c>
      <c r="D23" s="46">
        <v>620</v>
      </c>
      <c r="E23"/>
      <c r="F23"/>
      <c r="G23"/>
      <c r="H23"/>
      <c r="I23"/>
      <c r="J23"/>
      <c r="K23"/>
      <c r="L23"/>
      <c r="M23"/>
      <c r="N23"/>
      <c r="O23"/>
    </row>
    <row r="24" spans="1:15" x14ac:dyDescent="0.2">
      <c r="A24" s="45">
        <v>1000002039</v>
      </c>
      <c r="B24" s="45" t="s">
        <v>158</v>
      </c>
      <c r="C24" s="46">
        <v>897</v>
      </c>
      <c r="D24" s="46">
        <v>897</v>
      </c>
      <c r="E24"/>
      <c r="F24"/>
      <c r="G24"/>
      <c r="H24"/>
      <c r="I24"/>
      <c r="J24"/>
      <c r="K24"/>
      <c r="L24"/>
      <c r="M24"/>
      <c r="N24"/>
      <c r="O24"/>
    </row>
    <row r="25" spans="1:15" x14ac:dyDescent="0.2">
      <c r="A25" s="45">
        <v>1000002041</v>
      </c>
      <c r="B25" s="45" t="s">
        <v>156</v>
      </c>
      <c r="C25" s="46">
        <v>1304</v>
      </c>
      <c r="D25" s="46">
        <v>1304</v>
      </c>
      <c r="E25"/>
      <c r="F25"/>
      <c r="G25"/>
      <c r="H25"/>
      <c r="I25"/>
      <c r="J25"/>
      <c r="K25"/>
      <c r="L25"/>
      <c r="M25"/>
      <c r="N25"/>
      <c r="O25"/>
    </row>
    <row r="26" spans="1:15" x14ac:dyDescent="0.2">
      <c r="A26" s="45">
        <v>1000002194</v>
      </c>
      <c r="B26" s="45" t="s">
        <v>114</v>
      </c>
      <c r="C26" s="46">
        <v>1599</v>
      </c>
      <c r="D26" s="46">
        <v>1599</v>
      </c>
      <c r="E26"/>
      <c r="F26"/>
      <c r="G26"/>
      <c r="H26"/>
      <c r="I26"/>
      <c r="J26"/>
      <c r="K26"/>
      <c r="L26"/>
      <c r="M26"/>
      <c r="N26"/>
      <c r="O26"/>
    </row>
    <row r="27" spans="1:15" x14ac:dyDescent="0.2">
      <c r="A27" s="45">
        <v>1000002271</v>
      </c>
      <c r="B27" s="45" t="s">
        <v>131</v>
      </c>
      <c r="C27" s="46">
        <v>896</v>
      </c>
      <c r="D27" s="46">
        <v>896</v>
      </c>
      <c r="E27"/>
      <c r="F27"/>
      <c r="G27"/>
      <c r="H27"/>
      <c r="I27"/>
      <c r="J27"/>
      <c r="K27"/>
      <c r="L27"/>
      <c r="M27"/>
      <c r="N27"/>
      <c r="O27"/>
    </row>
    <row r="28" spans="1:15" x14ac:dyDescent="0.2">
      <c r="A28" s="45">
        <v>1000002360</v>
      </c>
      <c r="B28" s="45" t="s">
        <v>61</v>
      </c>
      <c r="C28" s="46">
        <v>373</v>
      </c>
      <c r="D28" s="46">
        <v>373</v>
      </c>
      <c r="E28"/>
      <c r="F28"/>
      <c r="G28"/>
      <c r="H28"/>
      <c r="I28"/>
      <c r="J28"/>
      <c r="K28"/>
      <c r="L28"/>
      <c r="M28"/>
      <c r="N28"/>
      <c r="O28"/>
    </row>
    <row r="29" spans="1:15" x14ac:dyDescent="0.2">
      <c r="A29" s="45">
        <v>1000002396</v>
      </c>
      <c r="B29" s="45" t="s">
        <v>136</v>
      </c>
      <c r="C29" s="46">
        <v>1361</v>
      </c>
      <c r="D29" s="46">
        <v>1361</v>
      </c>
      <c r="E29"/>
      <c r="F29"/>
      <c r="G29"/>
      <c r="H29"/>
      <c r="I29"/>
      <c r="J29"/>
      <c r="K29"/>
      <c r="L29"/>
      <c r="M29"/>
      <c r="N29"/>
      <c r="O29"/>
    </row>
    <row r="30" spans="1:15" x14ac:dyDescent="0.2">
      <c r="A30" s="45">
        <v>1000002804</v>
      </c>
      <c r="B30" s="45" t="s">
        <v>128</v>
      </c>
      <c r="C30" s="46">
        <v>24</v>
      </c>
      <c r="D30" s="46">
        <v>24</v>
      </c>
      <c r="E30"/>
      <c r="F30"/>
      <c r="G30"/>
      <c r="H30"/>
      <c r="I30"/>
      <c r="J30"/>
      <c r="K30"/>
      <c r="L30"/>
      <c r="M30"/>
      <c r="N30"/>
      <c r="O30"/>
    </row>
    <row r="31" spans="1:15" x14ac:dyDescent="0.2">
      <c r="A31" s="45">
        <v>1000002810</v>
      </c>
      <c r="B31" s="45" t="s">
        <v>95</v>
      </c>
      <c r="C31" s="46">
        <v>219</v>
      </c>
      <c r="D31" s="46">
        <v>219</v>
      </c>
      <c r="E31"/>
      <c r="F31"/>
      <c r="G31"/>
      <c r="H31"/>
      <c r="I31"/>
      <c r="J31"/>
      <c r="K31"/>
      <c r="L31"/>
      <c r="M31"/>
      <c r="N31"/>
      <c r="O31"/>
    </row>
    <row r="32" spans="1:15" x14ac:dyDescent="0.2">
      <c r="A32" s="45">
        <v>1000003110</v>
      </c>
      <c r="B32" s="45" t="s">
        <v>127</v>
      </c>
      <c r="C32" s="46">
        <v>1331</v>
      </c>
      <c r="D32" s="46">
        <v>1331</v>
      </c>
      <c r="E32"/>
      <c r="F32"/>
      <c r="G32"/>
      <c r="H32"/>
      <c r="I32"/>
      <c r="J32"/>
      <c r="K32"/>
      <c r="L32"/>
      <c r="M32"/>
      <c r="N32"/>
      <c r="O32"/>
    </row>
    <row r="33" spans="1:15" x14ac:dyDescent="0.2">
      <c r="A33" s="45">
        <v>1000003132</v>
      </c>
      <c r="B33" s="45" t="s">
        <v>116</v>
      </c>
      <c r="C33" s="46">
        <v>1324</v>
      </c>
      <c r="D33" s="46">
        <v>1324</v>
      </c>
      <c r="E33"/>
      <c r="F33"/>
      <c r="G33"/>
      <c r="H33"/>
      <c r="I33"/>
      <c r="J33"/>
      <c r="K33"/>
      <c r="L33"/>
      <c r="M33"/>
      <c r="N33"/>
      <c r="O33"/>
    </row>
    <row r="34" spans="1:15" x14ac:dyDescent="0.2">
      <c r="A34" s="45">
        <v>1000003169</v>
      </c>
      <c r="B34" s="45" t="s">
        <v>102</v>
      </c>
      <c r="C34" s="46">
        <v>1647</v>
      </c>
      <c r="D34" s="46">
        <v>1647</v>
      </c>
      <c r="E34"/>
      <c r="F34"/>
      <c r="G34"/>
      <c r="H34"/>
      <c r="I34"/>
      <c r="J34"/>
      <c r="K34"/>
      <c r="L34"/>
      <c r="M34"/>
      <c r="N34"/>
      <c r="O34"/>
    </row>
    <row r="35" spans="1:15" x14ac:dyDescent="0.2">
      <c r="A35" s="45">
        <v>1000003177</v>
      </c>
      <c r="B35" s="45" t="s">
        <v>110</v>
      </c>
      <c r="C35" s="46">
        <v>1028</v>
      </c>
      <c r="D35" s="46">
        <v>1028</v>
      </c>
      <c r="E35"/>
      <c r="F35"/>
      <c r="G35"/>
      <c r="H35"/>
      <c r="I35"/>
      <c r="J35"/>
      <c r="K35"/>
      <c r="L35"/>
      <c r="M35"/>
      <c r="N35"/>
      <c r="O35"/>
    </row>
    <row r="36" spans="1:15" x14ac:dyDescent="0.2">
      <c r="A36" s="45">
        <v>1000003180</v>
      </c>
      <c r="B36" s="45" t="s">
        <v>88</v>
      </c>
      <c r="C36" s="46">
        <v>439</v>
      </c>
      <c r="D36" s="46">
        <v>439</v>
      </c>
      <c r="E36"/>
      <c r="F36"/>
      <c r="G36"/>
      <c r="H36"/>
      <c r="I36"/>
      <c r="J36"/>
      <c r="K36"/>
      <c r="L36"/>
      <c r="M36"/>
      <c r="N36"/>
      <c r="O36"/>
    </row>
    <row r="37" spans="1:15" x14ac:dyDescent="0.2">
      <c r="A37" s="45">
        <v>1000003205</v>
      </c>
      <c r="B37" s="45" t="s">
        <v>148</v>
      </c>
      <c r="C37" s="46">
        <v>875</v>
      </c>
      <c r="D37" s="46">
        <v>875</v>
      </c>
      <c r="E37"/>
      <c r="F37"/>
      <c r="G37"/>
      <c r="H37"/>
      <c r="I37"/>
      <c r="J37"/>
      <c r="K37"/>
      <c r="L37"/>
      <c r="M37"/>
      <c r="N37"/>
      <c r="O37"/>
    </row>
    <row r="38" spans="1:15" x14ac:dyDescent="0.2">
      <c r="A38" s="45">
        <v>1000003229</v>
      </c>
      <c r="B38" s="45" t="s">
        <v>121</v>
      </c>
      <c r="C38" s="46">
        <v>196</v>
      </c>
      <c r="D38" s="46">
        <v>196</v>
      </c>
      <c r="E38"/>
      <c r="F38"/>
      <c r="G38"/>
      <c r="H38"/>
      <c r="I38"/>
      <c r="J38"/>
      <c r="K38"/>
      <c r="L38"/>
      <c r="M38"/>
      <c r="N38"/>
      <c r="O38"/>
    </row>
    <row r="39" spans="1:15" x14ac:dyDescent="0.2">
      <c r="A39" s="45">
        <v>1000003242</v>
      </c>
      <c r="B39" s="45" t="s">
        <v>99</v>
      </c>
      <c r="C39" s="46">
        <v>426</v>
      </c>
      <c r="D39" s="46">
        <v>426</v>
      </c>
      <c r="E39"/>
      <c r="F39"/>
      <c r="G39"/>
      <c r="H39"/>
      <c r="I39"/>
      <c r="J39"/>
      <c r="K39"/>
      <c r="L39"/>
      <c r="M39"/>
      <c r="N39"/>
      <c r="O39"/>
    </row>
    <row r="40" spans="1:15" x14ac:dyDescent="0.2">
      <c r="A40" s="45">
        <v>1000003245</v>
      </c>
      <c r="B40" s="45" t="s">
        <v>100</v>
      </c>
      <c r="C40" s="46">
        <v>376</v>
      </c>
      <c r="D40" s="46">
        <v>376</v>
      </c>
      <c r="E40"/>
      <c r="F40"/>
      <c r="G40"/>
      <c r="H40"/>
      <c r="I40"/>
      <c r="J40"/>
      <c r="K40"/>
      <c r="L40"/>
      <c r="M40"/>
      <c r="N40"/>
      <c r="O40"/>
    </row>
    <row r="41" spans="1:15" x14ac:dyDescent="0.2">
      <c r="A41" s="45">
        <v>1000003249</v>
      </c>
      <c r="B41" s="45" t="s">
        <v>119</v>
      </c>
      <c r="C41" s="46">
        <v>1274</v>
      </c>
      <c r="D41" s="46">
        <v>1274</v>
      </c>
      <c r="E41"/>
      <c r="F41"/>
      <c r="G41"/>
      <c r="H41"/>
      <c r="I41"/>
      <c r="J41"/>
      <c r="K41"/>
      <c r="L41"/>
      <c r="M41"/>
      <c r="N41"/>
      <c r="O41"/>
    </row>
    <row r="42" spans="1:15" x14ac:dyDescent="0.2">
      <c r="A42" s="45">
        <v>1000003253</v>
      </c>
      <c r="B42" s="45" t="s">
        <v>59</v>
      </c>
      <c r="C42" s="46">
        <v>691</v>
      </c>
      <c r="D42" s="46">
        <v>691</v>
      </c>
      <c r="E42"/>
      <c r="F42"/>
      <c r="G42"/>
      <c r="H42"/>
      <c r="I42"/>
      <c r="J42"/>
      <c r="K42"/>
      <c r="L42"/>
      <c r="M42"/>
      <c r="N42"/>
      <c r="O42"/>
    </row>
    <row r="43" spans="1:15" x14ac:dyDescent="0.2">
      <c r="A43" s="45">
        <v>1000003255</v>
      </c>
      <c r="B43" s="45" t="s">
        <v>118</v>
      </c>
      <c r="C43" s="46">
        <v>799</v>
      </c>
      <c r="D43" s="46">
        <v>799</v>
      </c>
      <c r="E43"/>
      <c r="F43"/>
      <c r="G43"/>
      <c r="H43"/>
      <c r="I43"/>
      <c r="J43"/>
      <c r="K43"/>
      <c r="L43"/>
      <c r="M43"/>
      <c r="N43"/>
      <c r="O43"/>
    </row>
    <row r="44" spans="1:15" x14ac:dyDescent="0.2">
      <c r="A44" s="45">
        <v>1000003270</v>
      </c>
      <c r="B44" s="45" t="s">
        <v>86</v>
      </c>
      <c r="C44" s="46">
        <v>609</v>
      </c>
      <c r="D44" s="46">
        <v>609</v>
      </c>
      <c r="E44"/>
      <c r="F44"/>
      <c r="G44"/>
      <c r="H44"/>
      <c r="I44"/>
      <c r="J44"/>
      <c r="K44"/>
      <c r="L44"/>
      <c r="M44"/>
      <c r="N44"/>
      <c r="O44"/>
    </row>
    <row r="45" spans="1:15" x14ac:dyDescent="0.2">
      <c r="A45" s="45">
        <v>1000004573</v>
      </c>
      <c r="B45" s="45" t="s">
        <v>133</v>
      </c>
      <c r="C45" s="46">
        <v>1553</v>
      </c>
      <c r="D45" s="46">
        <v>1553</v>
      </c>
      <c r="E45"/>
      <c r="F45"/>
      <c r="G45"/>
      <c r="H45"/>
      <c r="I45"/>
      <c r="J45"/>
      <c r="K45"/>
      <c r="L45"/>
      <c r="M45"/>
      <c r="N45"/>
      <c r="O45"/>
    </row>
    <row r="46" spans="1:15" x14ac:dyDescent="0.2">
      <c r="A46" s="45">
        <v>1000004769</v>
      </c>
      <c r="B46" s="45" t="s">
        <v>85</v>
      </c>
      <c r="C46" s="46">
        <v>1239</v>
      </c>
      <c r="D46" s="46">
        <v>1239</v>
      </c>
      <c r="E46"/>
      <c r="F46"/>
      <c r="G46"/>
      <c r="H46"/>
      <c r="I46"/>
      <c r="J46"/>
      <c r="K46"/>
      <c r="L46"/>
      <c r="M46"/>
      <c r="N46"/>
      <c r="O46"/>
    </row>
    <row r="47" spans="1:15" x14ac:dyDescent="0.2">
      <c r="A47" s="45">
        <v>1000005103</v>
      </c>
      <c r="B47" s="45" t="s">
        <v>112</v>
      </c>
      <c r="C47" s="46">
        <v>1081</v>
      </c>
      <c r="D47" s="46">
        <v>1081</v>
      </c>
      <c r="E47"/>
      <c r="F47"/>
      <c r="G47"/>
      <c r="H47"/>
      <c r="I47"/>
      <c r="J47"/>
      <c r="K47"/>
      <c r="L47"/>
      <c r="M47"/>
      <c r="N47"/>
      <c r="O47"/>
    </row>
    <row r="48" spans="1:15" x14ac:dyDescent="0.2">
      <c r="A48" s="45">
        <v>1000005236</v>
      </c>
      <c r="B48" s="45" t="s">
        <v>138</v>
      </c>
      <c r="C48" s="46">
        <v>3461</v>
      </c>
      <c r="D48" s="46">
        <v>3461</v>
      </c>
      <c r="E48"/>
      <c r="F48"/>
      <c r="G48"/>
      <c r="H48"/>
      <c r="I48"/>
      <c r="J48"/>
      <c r="K48"/>
      <c r="L48"/>
      <c r="M48"/>
      <c r="N48"/>
      <c r="O48"/>
    </row>
    <row r="49" spans="1:15" x14ac:dyDescent="0.2">
      <c r="A49" s="45">
        <v>1000005496</v>
      </c>
      <c r="B49" s="45" t="s">
        <v>135</v>
      </c>
      <c r="C49" s="46">
        <v>3751</v>
      </c>
      <c r="D49" s="46">
        <v>3751</v>
      </c>
      <c r="E49"/>
      <c r="F49"/>
      <c r="G49"/>
      <c r="H49"/>
      <c r="I49"/>
      <c r="J49"/>
      <c r="K49"/>
      <c r="L49"/>
      <c r="M49"/>
      <c r="N49"/>
      <c r="O49"/>
    </row>
    <row r="50" spans="1:15" x14ac:dyDescent="0.2">
      <c r="A50" s="45">
        <v>1000005502</v>
      </c>
      <c r="B50" s="45" t="s">
        <v>71</v>
      </c>
      <c r="C50" s="46">
        <v>1628</v>
      </c>
      <c r="D50" s="46">
        <v>1628</v>
      </c>
      <c r="E50"/>
      <c r="F50"/>
      <c r="G50"/>
      <c r="H50"/>
      <c r="I50"/>
      <c r="J50"/>
      <c r="K50"/>
      <c r="L50"/>
      <c r="M50"/>
      <c r="N50"/>
      <c r="O50"/>
    </row>
    <row r="51" spans="1:15" x14ac:dyDescent="0.2">
      <c r="A51" s="45">
        <v>1000005599</v>
      </c>
      <c r="B51" s="45" t="s">
        <v>69</v>
      </c>
      <c r="C51" s="46">
        <v>46</v>
      </c>
      <c r="D51" s="46">
        <v>46</v>
      </c>
      <c r="E51"/>
      <c r="F51"/>
      <c r="G51"/>
      <c r="H51"/>
      <c r="I51"/>
      <c r="J51"/>
      <c r="K51"/>
      <c r="L51"/>
      <c r="M51"/>
      <c r="N51"/>
      <c r="O51"/>
    </row>
    <row r="52" spans="1:15" x14ac:dyDescent="0.2">
      <c r="A52" s="45">
        <v>1000006261</v>
      </c>
      <c r="B52" s="45" t="s">
        <v>153</v>
      </c>
      <c r="C52" s="46">
        <v>1673</v>
      </c>
      <c r="D52" s="46">
        <v>1673</v>
      </c>
      <c r="E52"/>
      <c r="F52"/>
      <c r="G52"/>
      <c r="H52"/>
      <c r="I52"/>
      <c r="J52"/>
      <c r="K52"/>
      <c r="L52"/>
      <c r="M52"/>
      <c r="N52"/>
      <c r="O52"/>
    </row>
    <row r="53" spans="1:15" x14ac:dyDescent="0.2">
      <c r="A53" s="45">
        <v>1000006278</v>
      </c>
      <c r="B53" s="45" t="s">
        <v>94</v>
      </c>
      <c r="C53" s="46">
        <v>628</v>
      </c>
      <c r="D53" s="46">
        <v>628</v>
      </c>
      <c r="E53"/>
      <c r="F53"/>
      <c r="G53"/>
      <c r="H53"/>
      <c r="I53"/>
      <c r="J53"/>
      <c r="K53"/>
      <c r="L53"/>
      <c r="M53"/>
      <c r="N53"/>
      <c r="O53"/>
    </row>
    <row r="54" spans="1:15" x14ac:dyDescent="0.2">
      <c r="A54" s="45">
        <v>1000006293</v>
      </c>
      <c r="B54" s="45" t="s">
        <v>115</v>
      </c>
      <c r="C54" s="46">
        <v>367</v>
      </c>
      <c r="D54" s="46">
        <v>367</v>
      </c>
      <c r="E54"/>
      <c r="F54"/>
      <c r="G54"/>
      <c r="H54"/>
      <c r="I54"/>
      <c r="J54"/>
      <c r="K54"/>
      <c r="L54"/>
      <c r="M54"/>
      <c r="N54"/>
      <c r="O54"/>
    </row>
    <row r="55" spans="1:15" x14ac:dyDescent="0.2">
      <c r="A55" s="45">
        <v>1000006709</v>
      </c>
      <c r="B55" s="45" t="s">
        <v>132</v>
      </c>
      <c r="C55" s="46">
        <v>870</v>
      </c>
      <c r="D55" s="46">
        <v>870</v>
      </c>
      <c r="E55"/>
      <c r="F55"/>
      <c r="G55"/>
      <c r="H55"/>
      <c r="I55"/>
      <c r="J55"/>
      <c r="K55"/>
      <c r="L55"/>
      <c r="M55"/>
      <c r="N55"/>
      <c r="O55"/>
    </row>
    <row r="56" spans="1:15" x14ac:dyDescent="0.2">
      <c r="A56" s="45">
        <v>9000010030</v>
      </c>
      <c r="B56" s="45" t="s">
        <v>137</v>
      </c>
      <c r="C56" s="46">
        <v>646</v>
      </c>
      <c r="D56" s="46">
        <v>646</v>
      </c>
      <c r="E56"/>
      <c r="F56"/>
      <c r="G56"/>
      <c r="H56"/>
      <c r="I56"/>
      <c r="J56"/>
      <c r="K56"/>
      <c r="L56"/>
      <c r="M56"/>
      <c r="N56"/>
      <c r="O56"/>
    </row>
    <row r="57" spans="1:15" x14ac:dyDescent="0.2">
      <c r="A57" s="45">
        <v>9000010067</v>
      </c>
      <c r="B57" s="45" t="s">
        <v>81</v>
      </c>
      <c r="C57" s="46">
        <v>680</v>
      </c>
      <c r="D57" s="46">
        <v>680</v>
      </c>
      <c r="E57"/>
      <c r="F57"/>
      <c r="G57"/>
      <c r="H57"/>
      <c r="I57"/>
      <c r="J57"/>
      <c r="K57"/>
      <c r="L57"/>
      <c r="M57"/>
      <c r="N57"/>
      <c r="O57"/>
    </row>
    <row r="58" spans="1:15" x14ac:dyDescent="0.2">
      <c r="A58" s="45">
        <v>9000016559</v>
      </c>
      <c r="B58" s="45" t="s">
        <v>80</v>
      </c>
      <c r="C58" s="46">
        <v>1774</v>
      </c>
      <c r="D58" s="46">
        <v>1774</v>
      </c>
      <c r="E58"/>
      <c r="F58"/>
      <c r="G58"/>
      <c r="H58"/>
      <c r="I58"/>
      <c r="J58"/>
      <c r="K58"/>
      <c r="L58"/>
      <c r="M58"/>
      <c r="N58"/>
      <c r="O58"/>
    </row>
    <row r="59" spans="1:15" x14ac:dyDescent="0.2">
      <c r="A59" s="45">
        <v>9000016676</v>
      </c>
      <c r="B59" s="45" t="s">
        <v>147</v>
      </c>
      <c r="C59" s="46">
        <v>225</v>
      </c>
      <c r="D59" s="46">
        <v>225</v>
      </c>
      <c r="E59"/>
      <c r="F59"/>
      <c r="G59"/>
      <c r="H59"/>
      <c r="I59"/>
      <c r="J59"/>
      <c r="K59"/>
      <c r="L59"/>
      <c r="M59"/>
      <c r="N59"/>
      <c r="O59"/>
    </row>
    <row r="60" spans="1:15" x14ac:dyDescent="0.2">
      <c r="A60" s="45">
        <v>9000017450</v>
      </c>
      <c r="B60" s="45" t="s">
        <v>145</v>
      </c>
      <c r="C60" s="46">
        <v>563</v>
      </c>
      <c r="D60" s="46">
        <v>563</v>
      </c>
      <c r="E60"/>
      <c r="F60"/>
      <c r="G60"/>
      <c r="H60"/>
      <c r="I60"/>
      <c r="J60"/>
      <c r="K60"/>
      <c r="L60"/>
      <c r="M60"/>
      <c r="N60"/>
      <c r="O60"/>
    </row>
    <row r="61" spans="1:15" x14ac:dyDescent="0.2">
      <c r="A61" s="45">
        <v>9000017496</v>
      </c>
      <c r="B61" s="45" t="s">
        <v>123</v>
      </c>
      <c r="C61" s="46">
        <v>96</v>
      </c>
      <c r="D61" s="46">
        <v>96</v>
      </c>
      <c r="E61"/>
      <c r="F61"/>
      <c r="G61"/>
      <c r="H61"/>
      <c r="I61"/>
      <c r="J61"/>
      <c r="K61"/>
      <c r="L61"/>
      <c r="M61"/>
      <c r="N61"/>
      <c r="O61"/>
    </row>
    <row r="62" spans="1:15" x14ac:dyDescent="0.2">
      <c r="A62" s="45">
        <v>9000019333</v>
      </c>
      <c r="B62" s="45" t="s">
        <v>37</v>
      </c>
      <c r="C62" s="46">
        <v>228</v>
      </c>
      <c r="D62" s="46">
        <v>228</v>
      </c>
      <c r="E62"/>
      <c r="F62"/>
      <c r="G62"/>
      <c r="H62"/>
      <c r="I62"/>
      <c r="J62"/>
      <c r="K62"/>
      <c r="L62"/>
      <c r="M62"/>
      <c r="N62"/>
      <c r="O62"/>
    </row>
    <row r="63" spans="1:15" x14ac:dyDescent="0.2">
      <c r="A63" s="45">
        <v>9000020500</v>
      </c>
      <c r="B63" s="45" t="s">
        <v>157</v>
      </c>
      <c r="C63" s="46">
        <v>748</v>
      </c>
      <c r="D63" s="46">
        <v>748</v>
      </c>
      <c r="E63"/>
      <c r="F63"/>
      <c r="G63"/>
      <c r="H63"/>
      <c r="I63"/>
      <c r="J63"/>
      <c r="K63"/>
      <c r="L63"/>
      <c r="M63"/>
      <c r="N63"/>
      <c r="O63"/>
    </row>
    <row r="64" spans="1:15" x14ac:dyDescent="0.2">
      <c r="A64" s="45">
        <v>9000021216</v>
      </c>
      <c r="B64" s="45" t="s">
        <v>92</v>
      </c>
      <c r="C64" s="46">
        <v>68</v>
      </c>
      <c r="D64" s="46">
        <v>68</v>
      </c>
      <c r="E64"/>
      <c r="F64"/>
      <c r="G64"/>
      <c r="H64"/>
      <c r="I64"/>
      <c r="J64"/>
      <c r="K64"/>
      <c r="L64"/>
      <c r="M64"/>
      <c r="N64"/>
      <c r="O64"/>
    </row>
    <row r="65" spans="1:15" x14ac:dyDescent="0.2">
      <c r="A65" s="45">
        <v>9000021028</v>
      </c>
      <c r="B65" s="45" t="s">
        <v>109</v>
      </c>
      <c r="C65" s="46">
        <v>132</v>
      </c>
      <c r="D65" s="46">
        <v>132</v>
      </c>
      <c r="E65"/>
      <c r="F65"/>
      <c r="G65"/>
      <c r="H65"/>
      <c r="I65"/>
      <c r="J65"/>
      <c r="K65"/>
      <c r="L65"/>
      <c r="M65"/>
      <c r="N65"/>
      <c r="O65"/>
    </row>
    <row r="66" spans="1:15" x14ac:dyDescent="0.2">
      <c r="A66" s="45" t="s">
        <v>1</v>
      </c>
      <c r="B66" s="45"/>
      <c r="C66" s="46">
        <v>48474</v>
      </c>
      <c r="D66" s="46">
        <v>48474</v>
      </c>
      <c r="E66"/>
      <c r="F66"/>
      <c r="G66"/>
      <c r="H66"/>
      <c r="I66"/>
      <c r="J66"/>
      <c r="K66"/>
      <c r="L66"/>
      <c r="M66"/>
      <c r="N66"/>
      <c r="O66"/>
    </row>
    <row r="67" spans="1: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1:15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1:15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1:15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1:15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1:15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1:15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1:15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1:15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1:15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1:15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1:15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1:15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1:15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1:15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1:15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1:15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1:15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1:15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1:15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1:15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1:15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1:15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1:15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1:15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1:15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1:15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1:15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1:15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1:15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1:15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1:15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1:15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1:15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1:15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1:15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1:15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1:15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 spans="1:15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1:15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1:15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1:15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1:15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 spans="1:15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1:15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1:15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1:15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1:15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1:15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1:15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1:15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1:15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1:15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1:15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1:15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1:15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1:15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1:15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1:15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1:15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1:15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1:15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1:15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1:15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1:15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1:15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1:15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1:15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1:15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1:15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1:15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1:15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1:15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1:15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1:15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1:15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1:15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1:15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1:15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1:15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1:15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1:15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1:15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1:15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1:15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1:15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 spans="1:15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1:15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1:15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1:15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1:15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1:15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1:15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1:15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1:15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1:15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1:15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1:15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1:15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1:15" x14ac:dyDescent="0.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1:15" x14ac:dyDescent="0.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1:15" x14ac:dyDescent="0.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1:15" x14ac:dyDescent="0.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1:15" x14ac:dyDescent="0.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1:15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1:15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1:15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1:15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1:15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1:15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1:15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1:15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1:15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1:15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1:15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1:15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1:15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1:15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1:15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1:15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1:15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1:15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1:15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1:15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1:15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1:15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1:15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1:15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1:15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1:15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1:15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1:15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1:15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1:15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1:15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1:15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1:15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1:15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1:15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1:15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1:15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1:15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1:15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1:15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1:15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1:15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1:15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1:15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1:15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1:15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1:15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1:15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1:15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1:15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1:15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1:15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1:15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1:15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1:15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1:15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1:15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1:15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1:15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1:15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1:15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1:15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1:15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1:15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1:15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1:15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1:15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1:15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1:15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1:15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1:15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1:15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1:15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1:15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1:15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1:15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 spans="1:15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1:15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1:15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1:15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 spans="1:15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1:15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1:15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1:15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1:15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 spans="1:15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1:15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1:15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 spans="1:15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1:15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1:15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1:15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1:15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 spans="1:15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1:15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1:15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1:15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1:15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1:15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1:15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1:15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1:15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1:15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1:15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1:15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1:15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1:15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spans="1:15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 spans="1:15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 spans="1:15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 spans="1:15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 spans="1:15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 spans="1:15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 spans="1:15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 spans="1:15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1:15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 spans="1:15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 spans="1:15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1:15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 spans="1:15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 spans="1:15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 spans="1:15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 spans="1:15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1:15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 spans="1:15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 spans="1:15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 spans="1:15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 spans="1:15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 spans="1:15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 spans="1:15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 spans="1:15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 spans="1:15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 spans="1:15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 spans="1:15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 spans="1:15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 spans="1:15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 spans="1:15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1:15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1:15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1:15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1:15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1:15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1:15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</row>
    <row r="709" spans="1:15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</row>
    <row r="710" spans="1:15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</row>
    <row r="711" spans="1:15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</row>
    <row r="712" spans="1:15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</row>
    <row r="713" spans="1:15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</row>
    <row r="714" spans="1:15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</row>
    <row r="715" spans="1:15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</row>
    <row r="716" spans="1:15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</row>
    <row r="717" spans="1:15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</row>
    <row r="718" spans="1:15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</row>
    <row r="719" spans="1:15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</row>
    <row r="720" spans="1:15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</row>
    <row r="721" spans="1:15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1:15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</row>
    <row r="723" spans="1:15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</row>
    <row r="724" spans="1:15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1:15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</row>
    <row r="726" spans="1:15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</row>
    <row r="727" spans="1:15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</row>
    <row r="728" spans="1:15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1:15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</row>
    <row r="730" spans="1:15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1:15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 spans="1:15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</row>
    <row r="733" spans="1:15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</row>
    <row r="734" spans="1:15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</row>
    <row r="735" spans="1:15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</row>
    <row r="736" spans="1:15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</row>
    <row r="737" spans="1:15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</row>
    <row r="738" spans="1:15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</row>
    <row r="739" spans="1:15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</row>
    <row r="740" spans="1:15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</row>
    <row r="741" spans="1:15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</row>
    <row r="742" spans="1:15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</row>
    <row r="743" spans="1:15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1:15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1:15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46" spans="1:15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</row>
    <row r="747" spans="1:15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1:15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</row>
    <row r="749" spans="1:15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</row>
    <row r="750" spans="1:15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</row>
    <row r="751" spans="1:15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</row>
    <row r="752" spans="1:15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</row>
    <row r="753" spans="1:15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</row>
    <row r="754" spans="1:15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</row>
    <row r="755" spans="1:15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</row>
    <row r="756" spans="1:15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</row>
    <row r="757" spans="1:15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</row>
    <row r="758" spans="1:15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</row>
    <row r="759" spans="1:15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</row>
    <row r="760" spans="1:15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</row>
    <row r="761" spans="1:15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</row>
    <row r="762" spans="1:15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</row>
    <row r="763" spans="1:15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</row>
    <row r="764" spans="1:15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</row>
    <row r="765" spans="1:15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</row>
    <row r="766" spans="1:15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</row>
    <row r="767" spans="1:15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</row>
    <row r="768" spans="1:15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</row>
    <row r="769" spans="1:15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</row>
    <row r="770" spans="1:15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1:15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</row>
    <row r="772" spans="1:15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</row>
    <row r="773" spans="1:15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</row>
    <row r="774" spans="1:15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</row>
    <row r="775" spans="1:15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</row>
    <row r="776" spans="1:15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</row>
    <row r="777" spans="1:15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</row>
    <row r="778" spans="1:15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</row>
    <row r="779" spans="1:15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</row>
    <row r="780" spans="1:15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</row>
    <row r="781" spans="1:15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</row>
    <row r="782" spans="1:15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</row>
    <row r="783" spans="1:15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</row>
    <row r="784" spans="1:15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</row>
    <row r="785" spans="1:15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1:15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1:15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1:15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1:15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</row>
    <row r="790" spans="1:15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1:15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1:15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1:15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1:15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1:15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1:15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1:15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1:15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1:15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1:15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spans="1:15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</row>
    <row r="802" spans="1:15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</row>
    <row r="803" spans="1:15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</row>
    <row r="804" spans="1:15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</row>
    <row r="805" spans="1:15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</row>
    <row r="806" spans="1:15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</row>
    <row r="807" spans="1:15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</row>
    <row r="808" spans="1:15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</row>
    <row r="809" spans="1:15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</row>
    <row r="810" spans="1:15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</row>
    <row r="811" spans="1:15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</row>
    <row r="812" spans="1:15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</row>
    <row r="813" spans="1:15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</row>
    <row r="814" spans="1:15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</row>
    <row r="815" spans="1:15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</row>
    <row r="816" spans="1:15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</row>
    <row r="817" spans="1:15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</row>
    <row r="818" spans="1:15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</row>
    <row r="819" spans="1:15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</row>
    <row r="820" spans="1:15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</row>
    <row r="821" spans="1:15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</row>
    <row r="822" spans="1:15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</row>
    <row r="823" spans="1:15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</row>
    <row r="824" spans="1:15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1:15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1:15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1:15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</row>
    <row r="828" spans="1:15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1:15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0" spans="1:15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</row>
    <row r="831" spans="1:15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</row>
    <row r="832" spans="1:15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</row>
    <row r="833" spans="1:15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</row>
    <row r="834" spans="1:15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</row>
    <row r="835" spans="1:15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</row>
    <row r="836" spans="1:15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</row>
    <row r="837" spans="1:15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</row>
    <row r="838" spans="1:15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</row>
    <row r="839" spans="1:15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</row>
    <row r="840" spans="1:15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</row>
    <row r="841" spans="1:15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</row>
    <row r="842" spans="1:15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</row>
    <row r="843" spans="1:15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</row>
    <row r="844" spans="1:15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</row>
    <row r="845" spans="1:15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</row>
    <row r="846" spans="1:15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</row>
    <row r="847" spans="1:15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</row>
    <row r="848" spans="1:15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</row>
    <row r="849" spans="1:15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</row>
    <row r="850" spans="1:15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</row>
    <row r="851" spans="1:15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</row>
    <row r="852" spans="1:15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</row>
    <row r="853" spans="1:15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</row>
    <row r="854" spans="1:15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</row>
    <row r="855" spans="1:15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</row>
    <row r="856" spans="1:15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</row>
    <row r="857" spans="1:15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</row>
    <row r="858" spans="1:15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</row>
    <row r="859" spans="1:15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</row>
    <row r="860" spans="1:15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</row>
    <row r="861" spans="1:15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</row>
    <row r="862" spans="1:15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</row>
    <row r="863" spans="1:15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</row>
    <row r="864" spans="1:15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</row>
    <row r="865" spans="1:15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</row>
    <row r="866" spans="1:15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</row>
    <row r="867" spans="1:15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</row>
    <row r="868" spans="1:15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</row>
    <row r="869" spans="1:15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</row>
    <row r="870" spans="1:15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</row>
    <row r="871" spans="1:15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</row>
    <row r="872" spans="1:15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</row>
    <row r="873" spans="1:15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</row>
    <row r="874" spans="1:15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</row>
    <row r="875" spans="1:15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</row>
    <row r="876" spans="1:15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</row>
    <row r="877" spans="1:15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</row>
    <row r="878" spans="1:15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</row>
    <row r="879" spans="1:15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</row>
    <row r="880" spans="1:15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</row>
    <row r="881" spans="1:15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</row>
    <row r="882" spans="1:15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</row>
    <row r="883" spans="1:15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</row>
    <row r="884" spans="1:15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</row>
    <row r="885" spans="1:15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</row>
    <row r="886" spans="1:15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</row>
    <row r="887" spans="1:15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</row>
    <row r="888" spans="1:15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1:15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</row>
    <row r="890" spans="1:15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</row>
    <row r="891" spans="1:15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</row>
    <row r="892" spans="1:15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</row>
    <row r="893" spans="1:15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</row>
    <row r="894" spans="1:15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</row>
    <row r="895" spans="1:15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</row>
    <row r="896" spans="1:15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</row>
    <row r="897" spans="1:15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1:15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1:15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1:15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1:15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1:15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1:15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1:15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1:15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1:15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1:15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1:15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1:15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1:15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1:15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1:15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spans="1:15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</row>
    <row r="914" spans="1:15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</row>
    <row r="915" spans="1:15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</row>
    <row r="916" spans="1:15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</row>
    <row r="917" spans="1:15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</row>
    <row r="918" spans="1:15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</row>
    <row r="919" spans="1:15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</row>
    <row r="920" spans="1:15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</row>
    <row r="921" spans="1:15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</row>
    <row r="922" spans="1:15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</row>
    <row r="923" spans="1:15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</row>
    <row r="924" spans="1:15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</row>
    <row r="925" spans="1:15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</row>
    <row r="926" spans="1:15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</row>
    <row r="927" spans="1:15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</row>
    <row r="928" spans="1:15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</row>
    <row r="929" spans="1:15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</row>
    <row r="930" spans="1:15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</row>
    <row r="931" spans="1:15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</row>
    <row r="932" spans="1:15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</row>
    <row r="933" spans="1:15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</row>
    <row r="934" spans="1:15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</row>
    <row r="935" spans="1:15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</row>
    <row r="936" spans="1:15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</row>
    <row r="937" spans="1:15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</row>
    <row r="938" spans="1:15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</row>
    <row r="939" spans="1:15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</row>
    <row r="940" spans="1:15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</row>
    <row r="941" spans="1:15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</row>
    <row r="942" spans="1:15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</row>
    <row r="943" spans="1:15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</row>
    <row r="944" spans="1:15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</row>
    <row r="945" spans="1:15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</row>
    <row r="946" spans="1:15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</row>
    <row r="947" spans="1:15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</row>
    <row r="948" spans="1:15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</row>
    <row r="949" spans="1:15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</row>
    <row r="950" spans="1:15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</row>
    <row r="951" spans="1:15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</row>
    <row r="952" spans="1:15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</row>
    <row r="953" spans="1:15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</row>
    <row r="954" spans="1:15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</row>
    <row r="955" spans="1:15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</row>
    <row r="956" spans="1:15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</row>
    <row r="957" spans="1:15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</row>
    <row r="958" spans="1:15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</row>
    <row r="959" spans="1:15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</row>
    <row r="960" spans="1:15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</row>
    <row r="961" spans="1:15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</row>
    <row r="962" spans="1:15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</row>
    <row r="963" spans="1:15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</row>
    <row r="964" spans="1:15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</row>
    <row r="965" spans="1:15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</row>
    <row r="966" spans="1:15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</row>
    <row r="967" spans="1:15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</row>
    <row r="968" spans="1:15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</row>
    <row r="969" spans="1:15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</row>
    <row r="970" spans="1:15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</row>
    <row r="971" spans="1:15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</row>
    <row r="972" spans="1:15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</row>
    <row r="973" spans="1:15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</row>
    <row r="974" spans="1:15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</row>
    <row r="975" spans="1:15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</row>
    <row r="976" spans="1:15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</row>
    <row r="977" spans="1:15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</row>
    <row r="978" spans="1:15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</row>
    <row r="979" spans="1:15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</row>
    <row r="980" spans="1:15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</row>
    <row r="981" spans="1:15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</row>
    <row r="982" spans="1:15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</row>
    <row r="983" spans="1:15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</row>
    <row r="984" spans="1:15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</row>
    <row r="985" spans="1:15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</row>
    <row r="986" spans="1:15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</row>
    <row r="987" spans="1:15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</row>
    <row r="988" spans="1:15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</row>
    <row r="989" spans="1:15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</row>
    <row r="990" spans="1:15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</row>
    <row r="991" spans="1:15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</row>
    <row r="992" spans="1:15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</row>
    <row r="993" spans="1:15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</row>
    <row r="994" spans="1:15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</row>
    <row r="995" spans="1:15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</row>
    <row r="996" spans="1:15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</row>
    <row r="997" spans="1:15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</row>
    <row r="998" spans="1:15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</row>
    <row r="999" spans="1:15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</row>
    <row r="1000" spans="1:15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</row>
    <row r="1001" spans="1:15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</row>
    <row r="1002" spans="1:15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</row>
    <row r="1003" spans="1:15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</row>
    <row r="1004" spans="1:15" x14ac:dyDescent="0.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</row>
    <row r="1005" spans="1:15" x14ac:dyDescent="0.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</row>
    <row r="1006" spans="1:15" x14ac:dyDescent="0.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</row>
    <row r="1007" spans="1:15" x14ac:dyDescent="0.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</row>
    <row r="1008" spans="1:15" x14ac:dyDescent="0.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</row>
    <row r="1009" spans="1:15" x14ac:dyDescent="0.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</row>
    <row r="1010" spans="1:15" x14ac:dyDescent="0.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</row>
    <row r="1011" spans="1:15" x14ac:dyDescent="0.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</row>
    <row r="1012" spans="1:15" x14ac:dyDescent="0.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</row>
    <row r="1013" spans="1:15" x14ac:dyDescent="0.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</row>
    <row r="1014" spans="1:15" x14ac:dyDescent="0.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</row>
    <row r="1015" spans="1:15" x14ac:dyDescent="0.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</row>
    <row r="1016" spans="1:15" x14ac:dyDescent="0.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</row>
    <row r="1017" spans="1:15" x14ac:dyDescent="0.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</row>
    <row r="1018" spans="1:15" x14ac:dyDescent="0.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</row>
    <row r="1019" spans="1:15" x14ac:dyDescent="0.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</row>
    <row r="1020" spans="1:15" x14ac:dyDescent="0.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</row>
    <row r="1021" spans="1:15" x14ac:dyDescent="0.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</row>
    <row r="1022" spans="1:15" x14ac:dyDescent="0.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</row>
    <row r="1023" spans="1:15" x14ac:dyDescent="0.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</row>
    <row r="1024" spans="1:15" x14ac:dyDescent="0.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</row>
    <row r="1025" spans="1:15" x14ac:dyDescent="0.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</row>
    <row r="1026" spans="1:15" x14ac:dyDescent="0.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</row>
    <row r="1027" spans="1:15" x14ac:dyDescent="0.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</row>
    <row r="1028" spans="1:15" x14ac:dyDescent="0.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</row>
    <row r="1029" spans="1:15" x14ac:dyDescent="0.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</row>
    <row r="1030" spans="1:15" x14ac:dyDescent="0.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</row>
    <row r="1031" spans="1:15" x14ac:dyDescent="0.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</row>
    <row r="1032" spans="1:15" x14ac:dyDescent="0.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</row>
    <row r="1033" spans="1:15" x14ac:dyDescent="0.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</row>
    <row r="1034" spans="1:15" x14ac:dyDescent="0.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</row>
    <row r="1035" spans="1:15" x14ac:dyDescent="0.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</row>
    <row r="1036" spans="1:15" x14ac:dyDescent="0.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</row>
    <row r="1037" spans="1:15" x14ac:dyDescent="0.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</row>
    <row r="1038" spans="1:15" x14ac:dyDescent="0.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</row>
    <row r="1039" spans="1:15" x14ac:dyDescent="0.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</row>
    <row r="1040" spans="1:15" x14ac:dyDescent="0.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</row>
    <row r="1041" spans="1:15" x14ac:dyDescent="0.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</row>
    <row r="1042" spans="1:15" x14ac:dyDescent="0.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</row>
    <row r="1043" spans="1:15" x14ac:dyDescent="0.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</row>
    <row r="1044" spans="1:15" x14ac:dyDescent="0.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</row>
    <row r="1045" spans="1:15" x14ac:dyDescent="0.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</row>
    <row r="1046" spans="1:15" x14ac:dyDescent="0.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</row>
    <row r="1047" spans="1:15" x14ac:dyDescent="0.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</row>
    <row r="1048" spans="1:15" x14ac:dyDescent="0.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</row>
    <row r="1049" spans="1:15" x14ac:dyDescent="0.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</row>
    <row r="1050" spans="1:15" x14ac:dyDescent="0.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</row>
    <row r="1051" spans="1:15" x14ac:dyDescent="0.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</row>
    <row r="1052" spans="1:15" x14ac:dyDescent="0.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</row>
    <row r="1053" spans="1:15" x14ac:dyDescent="0.2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</row>
    <row r="1054" spans="1:15" x14ac:dyDescent="0.2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</row>
    <row r="1055" spans="1:15" x14ac:dyDescent="0.2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</row>
    <row r="1056" spans="1:15" x14ac:dyDescent="0.2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</row>
    <row r="1057" spans="1:15" x14ac:dyDescent="0.2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</row>
    <row r="1058" spans="1:15" x14ac:dyDescent="0.2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</row>
    <row r="1059" spans="1:15" x14ac:dyDescent="0.2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</row>
    <row r="1060" spans="1:15" x14ac:dyDescent="0.2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</row>
    <row r="1061" spans="1:15" x14ac:dyDescent="0.2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</row>
    <row r="1062" spans="1:15" x14ac:dyDescent="0.2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</row>
    <row r="1063" spans="1:15" x14ac:dyDescent="0.2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</row>
    <row r="1064" spans="1:15" x14ac:dyDescent="0.2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</row>
    <row r="1065" spans="1:15" x14ac:dyDescent="0.2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</row>
    <row r="1066" spans="1:15" x14ac:dyDescent="0.2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</row>
    <row r="1067" spans="1:15" x14ac:dyDescent="0.2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</row>
    <row r="1068" spans="1:15" x14ac:dyDescent="0.2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</row>
    <row r="1069" spans="1:15" x14ac:dyDescent="0.2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</row>
    <row r="1070" spans="1:15" x14ac:dyDescent="0.2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</row>
    <row r="1071" spans="1:15" x14ac:dyDescent="0.2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</row>
    <row r="1072" spans="1:15" x14ac:dyDescent="0.2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</row>
    <row r="1073" spans="1:15" x14ac:dyDescent="0.2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</row>
    <row r="1074" spans="1:15" x14ac:dyDescent="0.2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</row>
    <row r="1075" spans="1:15" x14ac:dyDescent="0.2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</row>
    <row r="1076" spans="1:15" x14ac:dyDescent="0.2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</row>
    <row r="1077" spans="1:15" x14ac:dyDescent="0.2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</row>
    <row r="1078" spans="1:15" x14ac:dyDescent="0.2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</row>
    <row r="1079" spans="1:15" x14ac:dyDescent="0.2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</row>
    <row r="1080" spans="1:15" x14ac:dyDescent="0.2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</row>
    <row r="1081" spans="1:15" x14ac:dyDescent="0.2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</row>
    <row r="1082" spans="1:15" x14ac:dyDescent="0.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</row>
    <row r="1083" spans="1:15" x14ac:dyDescent="0.2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1:15" x14ac:dyDescent="0.2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</row>
    <row r="1085" spans="1:15" x14ac:dyDescent="0.2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</row>
    <row r="1086" spans="1:15" x14ac:dyDescent="0.2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</row>
    <row r="1087" spans="1:15" x14ac:dyDescent="0.2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</row>
    <row r="1088" spans="1:15" x14ac:dyDescent="0.2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</row>
    <row r="1089" spans="1:15" x14ac:dyDescent="0.2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</row>
    <row r="1090" spans="1:15" x14ac:dyDescent="0.2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</row>
    <row r="1091" spans="1:15" x14ac:dyDescent="0.2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</row>
    <row r="1092" spans="1:15" x14ac:dyDescent="0.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</row>
    <row r="1093" spans="1:15" x14ac:dyDescent="0.2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</row>
    <row r="1094" spans="1:15" x14ac:dyDescent="0.2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</row>
    <row r="1095" spans="1:15" x14ac:dyDescent="0.2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</row>
    <row r="1096" spans="1:15" x14ac:dyDescent="0.2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</row>
    <row r="1097" spans="1:15" x14ac:dyDescent="0.2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</row>
    <row r="1098" spans="1:15" x14ac:dyDescent="0.2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</row>
    <row r="1099" spans="1:15" x14ac:dyDescent="0.2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</row>
    <row r="1100" spans="1:15" x14ac:dyDescent="0.2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</row>
    <row r="1101" spans="1:15" x14ac:dyDescent="0.2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</row>
    <row r="1102" spans="1:15" x14ac:dyDescent="0.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</row>
    <row r="1103" spans="1:15" x14ac:dyDescent="0.2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</row>
    <row r="1104" spans="1:15" x14ac:dyDescent="0.2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</row>
    <row r="1105" spans="1:15" x14ac:dyDescent="0.2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</row>
    <row r="1106" spans="1:15" x14ac:dyDescent="0.2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</row>
    <row r="1107" spans="1:15" x14ac:dyDescent="0.2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</row>
    <row r="1108" spans="1:15" x14ac:dyDescent="0.2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</row>
    <row r="1109" spans="1:15" x14ac:dyDescent="0.2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</row>
    <row r="1110" spans="1:15" x14ac:dyDescent="0.2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</row>
    <row r="1111" spans="1:15" x14ac:dyDescent="0.2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</row>
    <row r="1112" spans="1:15" x14ac:dyDescent="0.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</row>
    <row r="1113" spans="1:15" x14ac:dyDescent="0.2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</row>
    <row r="1114" spans="1:15" x14ac:dyDescent="0.2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</row>
    <row r="1115" spans="1:15" x14ac:dyDescent="0.2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</row>
    <row r="1116" spans="1:15" x14ac:dyDescent="0.2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</row>
    <row r="1117" spans="1:15" x14ac:dyDescent="0.2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</row>
    <row r="1118" spans="1:15" x14ac:dyDescent="0.2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</row>
    <row r="1119" spans="1:15" x14ac:dyDescent="0.2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</row>
    <row r="1120" spans="1:15" x14ac:dyDescent="0.2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</row>
    <row r="1121" spans="1:15" x14ac:dyDescent="0.2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</row>
    <row r="1122" spans="1:15" x14ac:dyDescent="0.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</row>
    <row r="1123" spans="1:15" x14ac:dyDescent="0.2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</row>
    <row r="1124" spans="1:15" x14ac:dyDescent="0.2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</row>
    <row r="1125" spans="1:15" x14ac:dyDescent="0.2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</row>
    <row r="1126" spans="1:15" x14ac:dyDescent="0.2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</row>
    <row r="1127" spans="1:15" x14ac:dyDescent="0.2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</row>
    <row r="1128" spans="1:15" x14ac:dyDescent="0.2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</row>
    <row r="1129" spans="1:15" x14ac:dyDescent="0.2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</row>
    <row r="1130" spans="1:15" x14ac:dyDescent="0.2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</row>
    <row r="1131" spans="1:15" x14ac:dyDescent="0.2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</row>
    <row r="1132" spans="1:15" x14ac:dyDescent="0.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</row>
    <row r="1133" spans="1:15" x14ac:dyDescent="0.2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</row>
    <row r="1134" spans="1:15" x14ac:dyDescent="0.2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</row>
    <row r="1135" spans="1:15" x14ac:dyDescent="0.2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</row>
    <row r="1136" spans="1:15" x14ac:dyDescent="0.2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</row>
    <row r="1137" spans="1:15" x14ac:dyDescent="0.2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</row>
    <row r="1138" spans="1:15" x14ac:dyDescent="0.2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</row>
    <row r="1139" spans="1:15" x14ac:dyDescent="0.2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</row>
    <row r="1140" spans="1:15" x14ac:dyDescent="0.2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</row>
    <row r="1141" spans="1:15" x14ac:dyDescent="0.2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</row>
    <row r="1142" spans="1:15" x14ac:dyDescent="0.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</row>
    <row r="1143" spans="1:15" x14ac:dyDescent="0.2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</row>
    <row r="1144" spans="1:15" x14ac:dyDescent="0.2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</row>
    <row r="1145" spans="1:15" x14ac:dyDescent="0.2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</row>
    <row r="1146" spans="1:15" x14ac:dyDescent="0.2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</row>
    <row r="1147" spans="1:15" x14ac:dyDescent="0.2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</row>
    <row r="1148" spans="1:15" x14ac:dyDescent="0.2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</row>
    <row r="1149" spans="1:15" x14ac:dyDescent="0.2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</row>
    <row r="1150" spans="1:15" x14ac:dyDescent="0.2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</row>
    <row r="1151" spans="1:15" x14ac:dyDescent="0.2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</row>
    <row r="1152" spans="1:15" x14ac:dyDescent="0.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</row>
    <row r="1153" spans="1:15" x14ac:dyDescent="0.2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</row>
    <row r="1154" spans="1:15" x14ac:dyDescent="0.2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</row>
    <row r="1155" spans="1:15" x14ac:dyDescent="0.2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</row>
    <row r="1156" spans="1:15" x14ac:dyDescent="0.2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</row>
    <row r="1157" spans="1:15" x14ac:dyDescent="0.2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</row>
    <row r="1158" spans="1:15" x14ac:dyDescent="0.2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</row>
    <row r="1159" spans="1:15" x14ac:dyDescent="0.2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</row>
    <row r="1160" spans="1:15" x14ac:dyDescent="0.2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</row>
    <row r="1161" spans="1:15" x14ac:dyDescent="0.2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</row>
    <row r="1162" spans="1:15" x14ac:dyDescent="0.2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</row>
    <row r="1163" spans="1:15" x14ac:dyDescent="0.2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</row>
    <row r="1164" spans="1:15" x14ac:dyDescent="0.2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</row>
    <row r="1165" spans="1:15" x14ac:dyDescent="0.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</row>
    <row r="1166" spans="1:15" x14ac:dyDescent="0.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</row>
    <row r="1167" spans="1:15" x14ac:dyDescent="0.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</row>
    <row r="1168" spans="1:15" x14ac:dyDescent="0.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</row>
    <row r="1169" spans="1:15" x14ac:dyDescent="0.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</row>
    <row r="1170" spans="1:15" x14ac:dyDescent="0.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</row>
    <row r="1171" spans="1:15" x14ac:dyDescent="0.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</row>
    <row r="1172" spans="1:15" x14ac:dyDescent="0.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</row>
    <row r="1173" spans="1:15" x14ac:dyDescent="0.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</row>
    <row r="1174" spans="1:15" x14ac:dyDescent="0.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</row>
    <row r="1175" spans="1:15" x14ac:dyDescent="0.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</row>
    <row r="1176" spans="1:15" x14ac:dyDescent="0.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</row>
    <row r="1177" spans="1:15" x14ac:dyDescent="0.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</row>
    <row r="1178" spans="1:15" x14ac:dyDescent="0.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</row>
    <row r="1179" spans="1:15" x14ac:dyDescent="0.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</row>
    <row r="1180" spans="1:15" x14ac:dyDescent="0.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</row>
    <row r="1181" spans="1:15" x14ac:dyDescent="0.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</row>
    <row r="1182" spans="1:15" x14ac:dyDescent="0.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</row>
    <row r="1183" spans="1:15" x14ac:dyDescent="0.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</row>
    <row r="1184" spans="1:15" x14ac:dyDescent="0.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</row>
    <row r="1185" spans="1:15" x14ac:dyDescent="0.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</row>
    <row r="1186" spans="1:15" x14ac:dyDescent="0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</row>
    <row r="1187" spans="1:15" x14ac:dyDescent="0.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</row>
    <row r="1188" spans="1:15" x14ac:dyDescent="0.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</row>
    <row r="1189" spans="1:15" x14ac:dyDescent="0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</row>
    <row r="1190" spans="1:15" x14ac:dyDescent="0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</row>
    <row r="1191" spans="1:15" x14ac:dyDescent="0.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</row>
    <row r="1192" spans="1:15" x14ac:dyDescent="0.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</row>
    <row r="1193" spans="1:15" x14ac:dyDescent="0.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</row>
    <row r="1194" spans="1:15" x14ac:dyDescent="0.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</row>
    <row r="1195" spans="1:15" x14ac:dyDescent="0.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</row>
    <row r="1196" spans="1:15" x14ac:dyDescent="0.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</row>
    <row r="1197" spans="1:15" x14ac:dyDescent="0.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</row>
    <row r="1198" spans="1:15" x14ac:dyDescent="0.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</row>
    <row r="1199" spans="1:15" x14ac:dyDescent="0.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</row>
    <row r="1200" spans="1:15" x14ac:dyDescent="0.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</row>
    <row r="1201" spans="1:15" x14ac:dyDescent="0.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</row>
    <row r="1202" spans="1:15" x14ac:dyDescent="0.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</row>
    <row r="1203" spans="1:15" x14ac:dyDescent="0.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</row>
    <row r="1204" spans="1:15" x14ac:dyDescent="0.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</row>
    <row r="1205" spans="1:15" x14ac:dyDescent="0.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</row>
    <row r="1206" spans="1:15" x14ac:dyDescent="0.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</row>
    <row r="1207" spans="1:15" x14ac:dyDescent="0.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</row>
    <row r="1208" spans="1:15" x14ac:dyDescent="0.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</row>
    <row r="1209" spans="1:15" x14ac:dyDescent="0.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</row>
    <row r="1210" spans="1:15" x14ac:dyDescent="0.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</row>
    <row r="1211" spans="1:15" x14ac:dyDescent="0.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</row>
    <row r="1212" spans="1:15" x14ac:dyDescent="0.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</row>
    <row r="1213" spans="1:15" x14ac:dyDescent="0.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</row>
    <row r="1214" spans="1:15" x14ac:dyDescent="0.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</row>
    <row r="1215" spans="1:15" x14ac:dyDescent="0.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</row>
    <row r="1216" spans="1:15" x14ac:dyDescent="0.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</row>
    <row r="1217" spans="1:15" x14ac:dyDescent="0.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</row>
    <row r="1218" spans="1:15" x14ac:dyDescent="0.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</row>
    <row r="1219" spans="1:15" x14ac:dyDescent="0.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</row>
    <row r="1220" spans="1:15" x14ac:dyDescent="0.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</row>
    <row r="1221" spans="1:15" x14ac:dyDescent="0.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</row>
    <row r="1222" spans="1:15" x14ac:dyDescent="0.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</row>
    <row r="1223" spans="1:15" x14ac:dyDescent="0.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</row>
    <row r="1224" spans="1:15" x14ac:dyDescent="0.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</row>
    <row r="1225" spans="1:15" x14ac:dyDescent="0.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</row>
    <row r="1226" spans="1:15" x14ac:dyDescent="0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</row>
    <row r="1227" spans="1:15" x14ac:dyDescent="0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</row>
    <row r="1228" spans="1:15" x14ac:dyDescent="0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</row>
    <row r="1229" spans="1:15" x14ac:dyDescent="0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</row>
    <row r="1230" spans="1:15" x14ac:dyDescent="0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</row>
    <row r="1231" spans="1:15" x14ac:dyDescent="0.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</row>
    <row r="1232" spans="1:15" x14ac:dyDescent="0.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</row>
    <row r="1233" spans="1:15" x14ac:dyDescent="0.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</row>
    <row r="1234" spans="1:15" x14ac:dyDescent="0.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</row>
    <row r="1235" spans="1:15" x14ac:dyDescent="0.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</row>
    <row r="1236" spans="1:15" x14ac:dyDescent="0.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</row>
    <row r="1237" spans="1:15" x14ac:dyDescent="0.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</row>
    <row r="1238" spans="1:15" x14ac:dyDescent="0.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</row>
    <row r="1239" spans="1:15" x14ac:dyDescent="0.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</row>
    <row r="1240" spans="1:15" x14ac:dyDescent="0.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</row>
    <row r="1241" spans="1:15" x14ac:dyDescent="0.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</row>
    <row r="1242" spans="1:15" x14ac:dyDescent="0.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</row>
    <row r="1243" spans="1:15" x14ac:dyDescent="0.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</row>
    <row r="1244" spans="1:15" x14ac:dyDescent="0.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</row>
    <row r="1245" spans="1:15" x14ac:dyDescent="0.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</row>
    <row r="1246" spans="1:15" x14ac:dyDescent="0.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</row>
    <row r="1247" spans="1:15" x14ac:dyDescent="0.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</row>
    <row r="1248" spans="1:15" x14ac:dyDescent="0.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</row>
    <row r="1249" spans="1:15" x14ac:dyDescent="0.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</row>
    <row r="1250" spans="1:15" x14ac:dyDescent="0.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</row>
    <row r="1251" spans="1:15" x14ac:dyDescent="0.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</row>
    <row r="1252" spans="1:15" x14ac:dyDescent="0.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</row>
    <row r="1253" spans="1:15" x14ac:dyDescent="0.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</row>
    <row r="1254" spans="1:15" x14ac:dyDescent="0.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</row>
    <row r="1255" spans="1:15" x14ac:dyDescent="0.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</row>
    <row r="1256" spans="1:15" x14ac:dyDescent="0.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</row>
    <row r="1257" spans="1:15" x14ac:dyDescent="0.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</row>
    <row r="1258" spans="1:15" x14ac:dyDescent="0.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</row>
    <row r="1259" spans="1:15" x14ac:dyDescent="0.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</row>
    <row r="1260" spans="1:15" x14ac:dyDescent="0.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</row>
    <row r="1261" spans="1:15" x14ac:dyDescent="0.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</row>
    <row r="1262" spans="1:15" x14ac:dyDescent="0.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</row>
    <row r="1263" spans="1:15" x14ac:dyDescent="0.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</row>
    <row r="1264" spans="1:15" x14ac:dyDescent="0.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</row>
    <row r="1265" spans="1:15" x14ac:dyDescent="0.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</row>
    <row r="1266" spans="1:15" x14ac:dyDescent="0.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</row>
    <row r="1267" spans="1:15" x14ac:dyDescent="0.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</row>
    <row r="1268" spans="1:15" x14ac:dyDescent="0.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</row>
    <row r="1269" spans="1:15" x14ac:dyDescent="0.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</row>
    <row r="1270" spans="1:15" x14ac:dyDescent="0.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</row>
    <row r="1271" spans="1:15" x14ac:dyDescent="0.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</row>
    <row r="1272" spans="1:15" x14ac:dyDescent="0.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</row>
    <row r="1273" spans="1:15" x14ac:dyDescent="0.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</row>
    <row r="1274" spans="1:15" x14ac:dyDescent="0.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</row>
    <row r="1275" spans="1:15" x14ac:dyDescent="0.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</row>
    <row r="1276" spans="1:15" x14ac:dyDescent="0.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</row>
    <row r="1277" spans="1:15" x14ac:dyDescent="0.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</row>
    <row r="1278" spans="1:15" x14ac:dyDescent="0.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</row>
    <row r="1279" spans="1:15" x14ac:dyDescent="0.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</row>
    <row r="1280" spans="1:15" x14ac:dyDescent="0.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</row>
    <row r="1281" spans="1:15" x14ac:dyDescent="0.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</row>
    <row r="1282" spans="1:15" x14ac:dyDescent="0.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</row>
    <row r="1283" spans="1:15" x14ac:dyDescent="0.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</row>
    <row r="1284" spans="1:15" x14ac:dyDescent="0.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</row>
    <row r="1285" spans="1:15" x14ac:dyDescent="0.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</row>
    <row r="1286" spans="1:15" x14ac:dyDescent="0.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</row>
    <row r="1287" spans="1:15" x14ac:dyDescent="0.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</row>
    <row r="1288" spans="1:15" x14ac:dyDescent="0.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</row>
    <row r="1289" spans="1:15" x14ac:dyDescent="0.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</row>
    <row r="1290" spans="1:15" x14ac:dyDescent="0.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</row>
    <row r="1291" spans="1:15" x14ac:dyDescent="0.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</row>
    <row r="1292" spans="1:15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</row>
    <row r="1293" spans="1:15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</row>
    <row r="1294" spans="1:15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</row>
    <row r="1295" spans="1:15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</row>
    <row r="1296" spans="1:15" x14ac:dyDescent="0.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</row>
    <row r="1297" spans="1:15" x14ac:dyDescent="0.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</row>
    <row r="1298" spans="1:15" x14ac:dyDescent="0.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</row>
    <row r="1299" spans="1:15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</row>
    <row r="1300" spans="1:15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</row>
    <row r="1301" spans="1:15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</row>
    <row r="1302" spans="1:15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</row>
    <row r="1303" spans="1:15" x14ac:dyDescent="0.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</row>
    <row r="1304" spans="1:15" x14ac:dyDescent="0.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</row>
    <row r="1305" spans="1:15" x14ac:dyDescent="0.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</row>
    <row r="1306" spans="1:15" x14ac:dyDescent="0.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</row>
    <row r="1307" spans="1:15" x14ac:dyDescent="0.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</row>
    <row r="1308" spans="1:15" x14ac:dyDescent="0.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</row>
    <row r="1309" spans="1:15" x14ac:dyDescent="0.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</row>
    <row r="1310" spans="1:15" x14ac:dyDescent="0.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</row>
    <row r="1311" spans="1:15" x14ac:dyDescent="0.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</row>
    <row r="1312" spans="1:15" x14ac:dyDescent="0.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</row>
    <row r="1313" spans="1:15" x14ac:dyDescent="0.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</row>
    <row r="1314" spans="1:15" x14ac:dyDescent="0.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</row>
    <row r="1315" spans="1:15" x14ac:dyDescent="0.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</row>
    <row r="1316" spans="1:15" x14ac:dyDescent="0.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</row>
    <row r="1317" spans="1:15" x14ac:dyDescent="0.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</row>
    <row r="1318" spans="1:15" x14ac:dyDescent="0.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</row>
    <row r="1319" spans="1:15" x14ac:dyDescent="0.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</row>
    <row r="1320" spans="1:15" x14ac:dyDescent="0.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</row>
    <row r="1321" spans="1:15" x14ac:dyDescent="0.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</row>
    <row r="1322" spans="1:15" x14ac:dyDescent="0.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</row>
    <row r="1323" spans="1:15" x14ac:dyDescent="0.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</row>
    <row r="1324" spans="1:15" x14ac:dyDescent="0.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</row>
    <row r="1325" spans="1:15" x14ac:dyDescent="0.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</row>
    <row r="1326" spans="1:15" x14ac:dyDescent="0.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</row>
    <row r="1327" spans="1:15" x14ac:dyDescent="0.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</row>
    <row r="1328" spans="1:15" x14ac:dyDescent="0.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</row>
    <row r="1329" spans="1:15" x14ac:dyDescent="0.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</row>
    <row r="1330" spans="1:15" x14ac:dyDescent="0.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</row>
    <row r="1331" spans="1:15" x14ac:dyDescent="0.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</row>
    <row r="1332" spans="1:15" x14ac:dyDescent="0.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</row>
    <row r="1333" spans="1:15" x14ac:dyDescent="0.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</row>
    <row r="1334" spans="1:15" x14ac:dyDescent="0.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</row>
    <row r="1335" spans="1:15" x14ac:dyDescent="0.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</row>
    <row r="1336" spans="1:15" x14ac:dyDescent="0.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</row>
    <row r="1337" spans="1:15" x14ac:dyDescent="0.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</row>
    <row r="1338" spans="1:15" x14ac:dyDescent="0.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</row>
    <row r="1339" spans="1:15" x14ac:dyDescent="0.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</row>
    <row r="1340" spans="1:15" x14ac:dyDescent="0.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</row>
    <row r="1341" spans="1:15" x14ac:dyDescent="0.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</row>
    <row r="1342" spans="1:15" x14ac:dyDescent="0.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</row>
    <row r="1343" spans="1:15" x14ac:dyDescent="0.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</row>
    <row r="1344" spans="1:15" x14ac:dyDescent="0.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</row>
    <row r="1345" spans="1:15" x14ac:dyDescent="0.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</row>
    <row r="1346" spans="1:15" x14ac:dyDescent="0.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</row>
    <row r="1347" spans="1:15" x14ac:dyDescent="0.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</row>
    <row r="1348" spans="1:15" x14ac:dyDescent="0.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</row>
    <row r="1349" spans="1:15" x14ac:dyDescent="0.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</row>
    <row r="1350" spans="1:15" x14ac:dyDescent="0.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</row>
    <row r="1351" spans="1:15" x14ac:dyDescent="0.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</row>
    <row r="1352" spans="1:15" x14ac:dyDescent="0.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</row>
    <row r="1353" spans="1:15" x14ac:dyDescent="0.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</row>
    <row r="1354" spans="1:15" x14ac:dyDescent="0.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</row>
    <row r="1355" spans="1:15" x14ac:dyDescent="0.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</row>
    <row r="1356" spans="1:15" x14ac:dyDescent="0.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</row>
    <row r="1357" spans="1:15" x14ac:dyDescent="0.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</row>
    <row r="1358" spans="1:15" x14ac:dyDescent="0.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</row>
    <row r="1359" spans="1:15" x14ac:dyDescent="0.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</row>
    <row r="1360" spans="1:15" x14ac:dyDescent="0.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</row>
    <row r="1361" spans="1:15" x14ac:dyDescent="0.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</row>
    <row r="1362" spans="1:15" x14ac:dyDescent="0.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</row>
    <row r="1363" spans="1:15" x14ac:dyDescent="0.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</row>
    <row r="1364" spans="1:15" x14ac:dyDescent="0.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</row>
    <row r="1365" spans="1:15" x14ac:dyDescent="0.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</row>
    <row r="1366" spans="1:15" x14ac:dyDescent="0.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</row>
    <row r="1367" spans="1:15" x14ac:dyDescent="0.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</row>
    <row r="1368" spans="1:15" x14ac:dyDescent="0.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</row>
    <row r="1369" spans="1:15" x14ac:dyDescent="0.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</row>
    <row r="1370" spans="1:15" x14ac:dyDescent="0.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</row>
    <row r="1371" spans="1:15" x14ac:dyDescent="0.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</row>
    <row r="1372" spans="1:15" x14ac:dyDescent="0.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</row>
    <row r="1373" spans="1:15" x14ac:dyDescent="0.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</row>
    <row r="1374" spans="1:15" x14ac:dyDescent="0.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</row>
    <row r="1375" spans="1:15" x14ac:dyDescent="0.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</row>
    <row r="1376" spans="1:15" x14ac:dyDescent="0.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</row>
    <row r="1377" spans="1:15" x14ac:dyDescent="0.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</row>
    <row r="1378" spans="1:15" x14ac:dyDescent="0.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</row>
    <row r="1379" spans="1:15" x14ac:dyDescent="0.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</row>
    <row r="1380" spans="1:15" x14ac:dyDescent="0.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</row>
    <row r="1381" spans="1:15" x14ac:dyDescent="0.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</row>
    <row r="1382" spans="1:15" x14ac:dyDescent="0.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</row>
    <row r="1383" spans="1:15" x14ac:dyDescent="0.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</row>
    <row r="1384" spans="1:15" x14ac:dyDescent="0.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</row>
    <row r="1385" spans="1:15" x14ac:dyDescent="0.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</row>
    <row r="1386" spans="1:15" x14ac:dyDescent="0.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</row>
    <row r="1387" spans="1:15" x14ac:dyDescent="0.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</row>
    <row r="1388" spans="1:15" x14ac:dyDescent="0.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</row>
    <row r="1389" spans="1:15" x14ac:dyDescent="0.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</row>
    <row r="1390" spans="1:15" x14ac:dyDescent="0.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</row>
    <row r="1391" spans="1:15" x14ac:dyDescent="0.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</row>
    <row r="1392" spans="1:15" x14ac:dyDescent="0.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</row>
    <row r="1393" spans="1:15" x14ac:dyDescent="0.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</row>
    <row r="1394" spans="1:15" x14ac:dyDescent="0.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</row>
    <row r="1395" spans="1:15" x14ac:dyDescent="0.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</row>
    <row r="1396" spans="1:15" x14ac:dyDescent="0.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</row>
    <row r="1397" spans="1:15" x14ac:dyDescent="0.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</row>
    <row r="1398" spans="1:15" x14ac:dyDescent="0.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</row>
    <row r="1399" spans="1:15" x14ac:dyDescent="0.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</row>
    <row r="1400" spans="1:15" x14ac:dyDescent="0.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</row>
    <row r="1401" spans="1:15" x14ac:dyDescent="0.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</row>
    <row r="1402" spans="1:15" x14ac:dyDescent="0.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</row>
    <row r="1403" spans="1:15" x14ac:dyDescent="0.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</row>
    <row r="1404" spans="1:15" x14ac:dyDescent="0.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</row>
    <row r="1405" spans="1:15" x14ac:dyDescent="0.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</row>
    <row r="1406" spans="1:15" x14ac:dyDescent="0.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</row>
    <row r="1407" spans="1:15" x14ac:dyDescent="0.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</row>
    <row r="1408" spans="1:15" x14ac:dyDescent="0.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</row>
    <row r="1409" spans="1:15" x14ac:dyDescent="0.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</row>
    <row r="1410" spans="1:15" x14ac:dyDescent="0.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</row>
    <row r="1411" spans="1:15" x14ac:dyDescent="0.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</row>
    <row r="1412" spans="1:15" x14ac:dyDescent="0.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</row>
    <row r="1413" spans="1:15" x14ac:dyDescent="0.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</row>
    <row r="1414" spans="1:15" x14ac:dyDescent="0.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</row>
    <row r="1415" spans="1:15" x14ac:dyDescent="0.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</row>
    <row r="1416" spans="1:15" x14ac:dyDescent="0.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</row>
    <row r="1417" spans="1:15" x14ac:dyDescent="0.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</row>
    <row r="1418" spans="1:15" x14ac:dyDescent="0.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</row>
    <row r="1419" spans="1:15" x14ac:dyDescent="0.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</row>
    <row r="1420" spans="1:15" x14ac:dyDescent="0.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</row>
    <row r="1421" spans="1:15" x14ac:dyDescent="0.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</row>
    <row r="1422" spans="1:15" x14ac:dyDescent="0.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</row>
    <row r="1423" spans="1:15" x14ac:dyDescent="0.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</row>
    <row r="1424" spans="1:15" x14ac:dyDescent="0.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</row>
    <row r="1425" spans="1:15" x14ac:dyDescent="0.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</row>
    <row r="1426" spans="1:15" x14ac:dyDescent="0.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</row>
    <row r="1427" spans="1:15" x14ac:dyDescent="0.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</row>
    <row r="1428" spans="1:15" x14ac:dyDescent="0.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</row>
    <row r="1429" spans="1:15" x14ac:dyDescent="0.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</row>
    <row r="1430" spans="1:15" x14ac:dyDescent="0.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</row>
    <row r="1431" spans="1:15" x14ac:dyDescent="0.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</row>
    <row r="1432" spans="1:15" x14ac:dyDescent="0.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</row>
    <row r="1433" spans="1:15" x14ac:dyDescent="0.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</row>
    <row r="1434" spans="1:15" x14ac:dyDescent="0.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</row>
    <row r="1435" spans="1:15" x14ac:dyDescent="0.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</row>
    <row r="1436" spans="1:15" x14ac:dyDescent="0.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</row>
    <row r="1437" spans="1:15" x14ac:dyDescent="0.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</row>
    <row r="1438" spans="1:15" x14ac:dyDescent="0.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</row>
    <row r="1439" spans="1:15" x14ac:dyDescent="0.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</row>
    <row r="1440" spans="1:15" x14ac:dyDescent="0.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</row>
    <row r="1441" spans="1:15" x14ac:dyDescent="0.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</row>
    <row r="1442" spans="1:15" x14ac:dyDescent="0.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</row>
    <row r="1443" spans="1:15" x14ac:dyDescent="0.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</row>
    <row r="1444" spans="1:15" x14ac:dyDescent="0.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</row>
    <row r="1445" spans="1:15" x14ac:dyDescent="0.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</row>
    <row r="1446" spans="1:15" x14ac:dyDescent="0.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</row>
    <row r="1447" spans="1:15" x14ac:dyDescent="0.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</row>
    <row r="1448" spans="1:15" x14ac:dyDescent="0.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</row>
    <row r="1449" spans="1:15" x14ac:dyDescent="0.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</row>
    <row r="1450" spans="1:15" x14ac:dyDescent="0.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</row>
    <row r="1451" spans="1:15" x14ac:dyDescent="0.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</row>
    <row r="1452" spans="1:15" x14ac:dyDescent="0.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</row>
    <row r="1453" spans="1:15" x14ac:dyDescent="0.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</row>
    <row r="1454" spans="1:15" x14ac:dyDescent="0.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</row>
    <row r="1455" spans="1:15" x14ac:dyDescent="0.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</row>
    <row r="1456" spans="1:15" x14ac:dyDescent="0.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</row>
    <row r="1457" spans="1:15" x14ac:dyDescent="0.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</row>
    <row r="1458" spans="1:15" x14ac:dyDescent="0.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</row>
    <row r="1459" spans="1:15" x14ac:dyDescent="0.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</row>
    <row r="1460" spans="1:15" x14ac:dyDescent="0.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</row>
    <row r="1461" spans="1:15" x14ac:dyDescent="0.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</row>
    <row r="1462" spans="1:15" x14ac:dyDescent="0.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</row>
    <row r="1463" spans="1:15" x14ac:dyDescent="0.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</row>
    <row r="1464" spans="1:15" x14ac:dyDescent="0.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</row>
    <row r="1465" spans="1:15" x14ac:dyDescent="0.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</row>
    <row r="1466" spans="1:15" x14ac:dyDescent="0.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</row>
    <row r="1467" spans="1:15" x14ac:dyDescent="0.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</row>
    <row r="1468" spans="1:15" x14ac:dyDescent="0.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</row>
    <row r="1469" spans="1:15" x14ac:dyDescent="0.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</row>
    <row r="1470" spans="1:15" x14ac:dyDescent="0.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</row>
    <row r="1471" spans="1:15" x14ac:dyDescent="0.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</row>
    <row r="1472" spans="1:15" x14ac:dyDescent="0.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</row>
    <row r="1473" spans="1:15" x14ac:dyDescent="0.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</row>
    <row r="1474" spans="1:15" x14ac:dyDescent="0.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</row>
    <row r="1475" spans="1:15" x14ac:dyDescent="0.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</row>
    <row r="1476" spans="1:15" x14ac:dyDescent="0.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</row>
    <row r="1477" spans="1:15" x14ac:dyDescent="0.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</row>
    <row r="1478" spans="1:15" x14ac:dyDescent="0.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</row>
    <row r="1479" spans="1:15" x14ac:dyDescent="0.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</row>
    <row r="1480" spans="1:15" x14ac:dyDescent="0.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</row>
    <row r="1481" spans="1:15" x14ac:dyDescent="0.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</row>
    <row r="1482" spans="1:15" x14ac:dyDescent="0.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</row>
    <row r="1483" spans="1:15" x14ac:dyDescent="0.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</row>
    <row r="1484" spans="1:15" x14ac:dyDescent="0.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</row>
    <row r="1485" spans="1:15" x14ac:dyDescent="0.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</row>
    <row r="1486" spans="1:15" x14ac:dyDescent="0.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</row>
    <row r="1487" spans="1:15" x14ac:dyDescent="0.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</row>
    <row r="1488" spans="1:15" x14ac:dyDescent="0.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</row>
    <row r="1489" spans="1:15" x14ac:dyDescent="0.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</row>
    <row r="1490" spans="1:15" x14ac:dyDescent="0.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</row>
    <row r="1491" spans="1:15" x14ac:dyDescent="0.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</row>
    <row r="1492" spans="1:15" x14ac:dyDescent="0.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</row>
    <row r="1493" spans="1:15" x14ac:dyDescent="0.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</row>
    <row r="1494" spans="1:15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</row>
    <row r="1495" spans="1:15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</row>
    <row r="1496" spans="1:15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</row>
    <row r="1497" spans="1:15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</row>
    <row r="1498" spans="1:15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</row>
    <row r="1499" spans="1:15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</row>
    <row r="1500" spans="1:15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</row>
    <row r="1501" spans="1:15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</row>
    <row r="1502" spans="1:15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</row>
    <row r="1503" spans="1:15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</row>
    <row r="1504" spans="1:15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</row>
    <row r="1505" spans="1:15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</row>
    <row r="1506" spans="1:15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</row>
    <row r="1507" spans="1:15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</row>
    <row r="1508" spans="1:15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</row>
    <row r="1509" spans="1:15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</row>
    <row r="1510" spans="1:15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</row>
    <row r="1511" spans="1:15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</row>
    <row r="1512" spans="1:15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</row>
    <row r="1513" spans="1:15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</row>
    <row r="1514" spans="1:15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</row>
    <row r="1515" spans="1:15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</row>
    <row r="1516" spans="1:15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</row>
    <row r="1517" spans="1:15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</row>
    <row r="1518" spans="1:15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</row>
    <row r="1519" spans="1:15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</row>
    <row r="1520" spans="1:15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</row>
    <row r="1521" spans="1:15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</row>
    <row r="1522" spans="1:15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</row>
    <row r="1523" spans="1:15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</row>
    <row r="1524" spans="1:15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</row>
    <row r="1525" spans="1:15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</row>
    <row r="1526" spans="1:15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</row>
    <row r="1527" spans="1:15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</row>
    <row r="1528" spans="1:15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</row>
    <row r="1529" spans="1:15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</row>
    <row r="1530" spans="1:15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</row>
    <row r="1531" spans="1:15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</row>
    <row r="1532" spans="1:15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</row>
    <row r="1533" spans="1:15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</row>
    <row r="1534" spans="1:15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</row>
    <row r="1535" spans="1:15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</row>
    <row r="1536" spans="1:15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</row>
    <row r="1537" spans="1:15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</row>
    <row r="1538" spans="1:15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</row>
    <row r="1539" spans="1:15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</row>
    <row r="1540" spans="1:15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</row>
    <row r="1541" spans="1:15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</row>
    <row r="1542" spans="1:15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</row>
    <row r="1543" spans="1:15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</row>
    <row r="1544" spans="1:15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</row>
    <row r="1545" spans="1:15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</row>
    <row r="1546" spans="1:15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</row>
    <row r="1547" spans="1:15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</row>
    <row r="1548" spans="1:15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</row>
    <row r="1549" spans="1:15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</row>
    <row r="1550" spans="1:15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</row>
    <row r="1551" spans="1:15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</row>
    <row r="1552" spans="1:15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</row>
    <row r="1553" spans="1:15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</row>
    <row r="1554" spans="1:15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</row>
    <row r="1555" spans="1:15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</row>
    <row r="1556" spans="1:15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</row>
    <row r="1557" spans="1:15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</row>
    <row r="1558" spans="1:15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</row>
    <row r="1559" spans="1:15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</row>
    <row r="1560" spans="1:15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</row>
    <row r="1561" spans="1:15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</row>
    <row r="1562" spans="1:15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</row>
    <row r="1563" spans="1:15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</row>
    <row r="1564" spans="1:15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</row>
    <row r="1565" spans="1:15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</row>
    <row r="1566" spans="1:15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</row>
    <row r="1567" spans="1:15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</row>
    <row r="1568" spans="1:15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</row>
    <row r="1569" spans="1:15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</row>
    <row r="1570" spans="1:15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</row>
    <row r="1571" spans="1:15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</row>
    <row r="1572" spans="1:15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</row>
    <row r="1573" spans="1:15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</row>
    <row r="1574" spans="1:15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</row>
    <row r="1575" spans="1:15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</row>
    <row r="1576" spans="1:15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</row>
    <row r="1577" spans="1:15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</row>
    <row r="1578" spans="1:15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</row>
    <row r="1579" spans="1:15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</row>
    <row r="1580" spans="1:15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</row>
    <row r="1581" spans="1:15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</row>
    <row r="1582" spans="1:15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</row>
    <row r="1583" spans="1:15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</row>
    <row r="1584" spans="1:15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</row>
    <row r="1585" spans="1:15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</row>
    <row r="1586" spans="1:15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</row>
    <row r="1587" spans="1:15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</row>
    <row r="1588" spans="1:15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</row>
    <row r="1589" spans="1:15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</row>
    <row r="1590" spans="1:15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</row>
    <row r="1591" spans="1:15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</row>
    <row r="1592" spans="1:15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</row>
    <row r="1593" spans="1:15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</row>
    <row r="1594" spans="1:15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</row>
    <row r="1595" spans="1:15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</row>
    <row r="1596" spans="1:15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</row>
    <row r="1597" spans="1:15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</row>
    <row r="1598" spans="1:15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</row>
    <row r="1599" spans="1:15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</row>
    <row r="1600" spans="1:15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</row>
    <row r="1601" spans="1:15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</row>
    <row r="1602" spans="1:15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</row>
    <row r="1603" spans="1:15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</row>
    <row r="1604" spans="1:15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</row>
    <row r="1605" spans="1:15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</row>
    <row r="1606" spans="1:15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</row>
    <row r="1607" spans="1:15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</row>
    <row r="1608" spans="1:15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</row>
    <row r="1609" spans="1:15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</row>
    <row r="1610" spans="1:15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</row>
    <row r="1611" spans="1:15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</row>
    <row r="1612" spans="1:15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</row>
    <row r="1613" spans="1:15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</row>
    <row r="1614" spans="1:15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</row>
    <row r="1615" spans="1:15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</row>
    <row r="1616" spans="1:15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</row>
    <row r="1617" spans="1:15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</row>
    <row r="1618" spans="1:15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</row>
    <row r="1619" spans="1:15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</row>
    <row r="1620" spans="1:15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</row>
    <row r="1621" spans="1:15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</row>
    <row r="1622" spans="1:15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</row>
    <row r="1623" spans="1:15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</row>
    <row r="1624" spans="1:15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</row>
    <row r="1625" spans="1:15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</row>
    <row r="1626" spans="1:15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</row>
    <row r="1627" spans="1:15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</row>
    <row r="1628" spans="1:15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</row>
    <row r="1629" spans="1:15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</row>
    <row r="1630" spans="1:15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</row>
    <row r="1631" spans="1:15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</row>
    <row r="1632" spans="1:15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</row>
    <row r="1633" spans="1:15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</row>
    <row r="1634" spans="1:15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</row>
    <row r="1635" spans="1:15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</row>
    <row r="1636" spans="1:15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</row>
    <row r="1637" spans="1:15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</row>
    <row r="1638" spans="1:15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</row>
    <row r="1639" spans="1:15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</row>
    <row r="1640" spans="1:15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</row>
    <row r="1641" spans="1:15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</row>
    <row r="1642" spans="1:15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</row>
    <row r="1643" spans="1:15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</row>
    <row r="1644" spans="1:15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</row>
    <row r="1645" spans="1:15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</row>
    <row r="1646" spans="1:15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</row>
    <row r="1647" spans="1:15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</row>
    <row r="1648" spans="1:15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</row>
    <row r="1649" spans="1:15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</row>
    <row r="1650" spans="1:15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</row>
    <row r="1651" spans="1:15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</row>
    <row r="1652" spans="1:15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</row>
    <row r="1653" spans="1:15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</row>
    <row r="1654" spans="1:15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</row>
    <row r="1655" spans="1:15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</row>
    <row r="1656" spans="1:15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</row>
    <row r="1657" spans="1:15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</row>
    <row r="1658" spans="1:15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</row>
    <row r="1659" spans="1:15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</row>
    <row r="1660" spans="1:15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</row>
    <row r="1661" spans="1:15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</row>
    <row r="1662" spans="1:15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</row>
    <row r="1663" spans="1:15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</row>
    <row r="1664" spans="1:15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</row>
    <row r="1665" spans="1:15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</row>
    <row r="1666" spans="1:15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</row>
    <row r="1667" spans="1:15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</row>
    <row r="1668" spans="1:15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</row>
    <row r="1669" spans="1:15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</row>
    <row r="1670" spans="1:15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</row>
    <row r="1671" spans="1:15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</row>
    <row r="1672" spans="1:15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</row>
    <row r="1673" spans="1:15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</row>
    <row r="1674" spans="1:15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</row>
    <row r="1675" spans="1:15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</row>
    <row r="1676" spans="1:15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</row>
    <row r="1677" spans="1:15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</row>
    <row r="1678" spans="1:15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</row>
    <row r="1679" spans="1:15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</row>
    <row r="1680" spans="1:15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</row>
    <row r="1681" spans="1:15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</row>
    <row r="1682" spans="1:15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</row>
    <row r="1683" spans="1:15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</row>
    <row r="1684" spans="1:15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</row>
    <row r="1685" spans="1:15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</row>
    <row r="1686" spans="1:15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</row>
    <row r="1687" spans="1:15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</row>
    <row r="1688" spans="1:15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</row>
    <row r="1689" spans="1:15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</row>
    <row r="1690" spans="1:15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</row>
    <row r="1691" spans="1:15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</row>
    <row r="1692" spans="1:15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</row>
    <row r="1693" spans="1:15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</row>
    <row r="1694" spans="1:15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</row>
    <row r="1695" spans="1:15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</row>
    <row r="1696" spans="1:15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</row>
    <row r="1697" spans="1:15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</row>
    <row r="1698" spans="1:15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</row>
    <row r="1699" spans="1:15" x14ac:dyDescent="0.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</row>
    <row r="1700" spans="1:15" x14ac:dyDescent="0.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</row>
    <row r="1701" spans="1:15" x14ac:dyDescent="0.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</row>
    <row r="1702" spans="1:15" x14ac:dyDescent="0.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</row>
    <row r="1703" spans="1:15" x14ac:dyDescent="0.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</row>
    <row r="1704" spans="1:15" x14ac:dyDescent="0.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</row>
    <row r="1705" spans="1:15" x14ac:dyDescent="0.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</row>
    <row r="1706" spans="1:15" x14ac:dyDescent="0.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</row>
    <row r="1707" spans="1:15" x14ac:dyDescent="0.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</row>
    <row r="1708" spans="1:15" x14ac:dyDescent="0.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</row>
    <row r="1709" spans="1:15" x14ac:dyDescent="0.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</row>
    <row r="1710" spans="1:15" x14ac:dyDescent="0.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</row>
    <row r="1711" spans="1:15" x14ac:dyDescent="0.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</row>
    <row r="1712" spans="1:15" x14ac:dyDescent="0.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</row>
    <row r="1713" spans="1:15" x14ac:dyDescent="0.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</row>
    <row r="1714" spans="1:15" x14ac:dyDescent="0.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</row>
    <row r="1715" spans="1:15" x14ac:dyDescent="0.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</row>
    <row r="1716" spans="1:15" x14ac:dyDescent="0.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</row>
    <row r="1717" spans="1:15" x14ac:dyDescent="0.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</row>
    <row r="1718" spans="1:15" x14ac:dyDescent="0.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</row>
    <row r="1719" spans="1:15" x14ac:dyDescent="0.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</row>
    <row r="1720" spans="1:15" x14ac:dyDescent="0.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</row>
    <row r="1721" spans="1:15" x14ac:dyDescent="0.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</row>
    <row r="1722" spans="1:15" x14ac:dyDescent="0.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</row>
    <row r="1723" spans="1:15" x14ac:dyDescent="0.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</row>
    <row r="1724" spans="1:15" x14ac:dyDescent="0.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</row>
    <row r="1725" spans="1:15" x14ac:dyDescent="0.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</row>
    <row r="1726" spans="1:15" x14ac:dyDescent="0.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</row>
    <row r="1727" spans="1:15" x14ac:dyDescent="0.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</row>
    <row r="1728" spans="1:15" x14ac:dyDescent="0.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</row>
    <row r="1729" spans="1:15" x14ac:dyDescent="0.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</row>
    <row r="1730" spans="1:15" x14ac:dyDescent="0.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</row>
    <row r="1731" spans="1:15" x14ac:dyDescent="0.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</row>
    <row r="1732" spans="1:15" x14ac:dyDescent="0.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</row>
    <row r="1733" spans="1:15" x14ac:dyDescent="0.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</row>
    <row r="1734" spans="1:15" x14ac:dyDescent="0.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</row>
    <row r="1735" spans="1:15" x14ac:dyDescent="0.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</row>
    <row r="1736" spans="1:15" x14ac:dyDescent="0.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</row>
    <row r="1737" spans="1:15" x14ac:dyDescent="0.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</row>
    <row r="1738" spans="1:15" x14ac:dyDescent="0.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</row>
    <row r="1739" spans="1:15" x14ac:dyDescent="0.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</row>
    <row r="1740" spans="1:15" x14ac:dyDescent="0.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</row>
    <row r="1741" spans="1:15" x14ac:dyDescent="0.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</row>
    <row r="1742" spans="1:15" x14ac:dyDescent="0.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</row>
    <row r="1743" spans="1:15" x14ac:dyDescent="0.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</row>
    <row r="1744" spans="1:15" x14ac:dyDescent="0.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</row>
    <row r="1745" spans="1:15" x14ac:dyDescent="0.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</row>
    <row r="1746" spans="1:15" x14ac:dyDescent="0.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</row>
    <row r="1747" spans="1:15" x14ac:dyDescent="0.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</row>
    <row r="1748" spans="1:15" x14ac:dyDescent="0.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</row>
    <row r="1749" spans="1:15" x14ac:dyDescent="0.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</row>
    <row r="1750" spans="1:15" x14ac:dyDescent="0.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</row>
    <row r="1751" spans="1:15" x14ac:dyDescent="0.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</row>
    <row r="1752" spans="1:15" x14ac:dyDescent="0.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</row>
    <row r="1753" spans="1:15" x14ac:dyDescent="0.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</row>
    <row r="1754" spans="1:15" x14ac:dyDescent="0.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</row>
    <row r="1755" spans="1:15" x14ac:dyDescent="0.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</row>
    <row r="1756" spans="1:15" x14ac:dyDescent="0.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</row>
    <row r="1757" spans="1:15" x14ac:dyDescent="0.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</row>
    <row r="1758" spans="1:15" x14ac:dyDescent="0.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</row>
    <row r="1759" spans="1:15" x14ac:dyDescent="0.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</row>
    <row r="1760" spans="1:15" x14ac:dyDescent="0.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</row>
    <row r="1761" spans="1:15" x14ac:dyDescent="0.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</row>
    <row r="1762" spans="1:15" x14ac:dyDescent="0.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</row>
    <row r="1763" spans="1:15" x14ac:dyDescent="0.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</row>
    <row r="1764" spans="1:15" x14ac:dyDescent="0.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</row>
    <row r="1765" spans="1:15" x14ac:dyDescent="0.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</row>
    <row r="1766" spans="1:15" x14ac:dyDescent="0.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</row>
    <row r="1767" spans="1:15" x14ac:dyDescent="0.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</row>
    <row r="1768" spans="1:15" x14ac:dyDescent="0.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</row>
    <row r="1769" spans="1:15" x14ac:dyDescent="0.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</row>
    <row r="1770" spans="1:15" x14ac:dyDescent="0.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</row>
    <row r="1771" spans="1:15" x14ac:dyDescent="0.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</row>
    <row r="1772" spans="1:15" x14ac:dyDescent="0.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</row>
    <row r="1773" spans="1:15" x14ac:dyDescent="0.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</row>
    <row r="1774" spans="1:15" x14ac:dyDescent="0.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</row>
    <row r="1775" spans="1:15" x14ac:dyDescent="0.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</row>
    <row r="1776" spans="1:15" x14ac:dyDescent="0.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</row>
    <row r="1777" spans="1:15" x14ac:dyDescent="0.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</row>
    <row r="1778" spans="1:15" x14ac:dyDescent="0.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</row>
    <row r="1779" spans="1:15" x14ac:dyDescent="0.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</row>
    <row r="1780" spans="1:15" x14ac:dyDescent="0.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</row>
    <row r="1781" spans="1:15" x14ac:dyDescent="0.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</row>
    <row r="1782" spans="1:15" x14ac:dyDescent="0.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</row>
    <row r="1783" spans="1:15" x14ac:dyDescent="0.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</row>
    <row r="1784" spans="1:15" x14ac:dyDescent="0.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</row>
    <row r="1785" spans="1:15" x14ac:dyDescent="0.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</row>
    <row r="1786" spans="1:15" x14ac:dyDescent="0.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</row>
    <row r="1787" spans="1:15" x14ac:dyDescent="0.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</row>
    <row r="1788" spans="1:15" x14ac:dyDescent="0.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</row>
    <row r="1789" spans="1:15" x14ac:dyDescent="0.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</row>
    <row r="1790" spans="1:15" x14ac:dyDescent="0.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</row>
    <row r="1791" spans="1:15" x14ac:dyDescent="0.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</row>
    <row r="1792" spans="1:15" x14ac:dyDescent="0.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</row>
    <row r="1793" spans="1:15" x14ac:dyDescent="0.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</row>
    <row r="1794" spans="1:15" x14ac:dyDescent="0.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</row>
    <row r="1795" spans="1:15" x14ac:dyDescent="0.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</row>
    <row r="1796" spans="1:15" x14ac:dyDescent="0.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</row>
    <row r="1797" spans="1:15" x14ac:dyDescent="0.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</row>
    <row r="1798" spans="1:15" x14ac:dyDescent="0.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</row>
    <row r="1799" spans="1:15" x14ac:dyDescent="0.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</row>
    <row r="1800" spans="1:15" x14ac:dyDescent="0.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</row>
    <row r="1801" spans="1:15" x14ac:dyDescent="0.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</row>
    <row r="1802" spans="1:15" x14ac:dyDescent="0.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</row>
    <row r="1803" spans="1:15" x14ac:dyDescent="0.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</row>
    <row r="1804" spans="1:15" x14ac:dyDescent="0.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</row>
    <row r="1805" spans="1:15" x14ac:dyDescent="0.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</row>
    <row r="1806" spans="1:15" x14ac:dyDescent="0.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</row>
    <row r="1807" spans="1:15" x14ac:dyDescent="0.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</row>
    <row r="1808" spans="1:15" x14ac:dyDescent="0.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</row>
    <row r="1809" spans="1:15" x14ac:dyDescent="0.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</row>
    <row r="1810" spans="1:15" x14ac:dyDescent="0.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</row>
    <row r="1811" spans="1:15" x14ac:dyDescent="0.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</row>
    <row r="1812" spans="1:15" x14ac:dyDescent="0.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</row>
    <row r="1813" spans="1:15" x14ac:dyDescent="0.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</row>
    <row r="1814" spans="1:15" x14ac:dyDescent="0.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</row>
    <row r="1815" spans="1:15" x14ac:dyDescent="0.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</row>
    <row r="1816" spans="1:15" x14ac:dyDescent="0.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</row>
    <row r="1817" spans="1:15" x14ac:dyDescent="0.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</row>
    <row r="1818" spans="1:15" x14ac:dyDescent="0.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</row>
    <row r="1819" spans="1:15" x14ac:dyDescent="0.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</row>
    <row r="1820" spans="1:15" x14ac:dyDescent="0.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</row>
    <row r="1821" spans="1:15" x14ac:dyDescent="0.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</row>
    <row r="1822" spans="1:15" x14ac:dyDescent="0.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</row>
    <row r="1823" spans="1:15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</row>
    <row r="1824" spans="1:15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</row>
    <row r="1825" spans="1:15" x14ac:dyDescent="0.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</row>
    <row r="1826" spans="1:15" x14ac:dyDescent="0.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</row>
    <row r="1827" spans="1:15" x14ac:dyDescent="0.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</row>
    <row r="1828" spans="1:15" x14ac:dyDescent="0.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</row>
    <row r="1829" spans="1:15" x14ac:dyDescent="0.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</row>
    <row r="1830" spans="1:15" x14ac:dyDescent="0.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</row>
    <row r="1831" spans="1:15" x14ac:dyDescent="0.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</row>
    <row r="1832" spans="1:15" x14ac:dyDescent="0.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</row>
    <row r="1833" spans="1:15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</row>
    <row r="1834" spans="1:15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</row>
    <row r="1835" spans="1:15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</row>
    <row r="1836" spans="1:15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</row>
    <row r="1837" spans="1:15" x14ac:dyDescent="0.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</row>
    <row r="1838" spans="1:15" x14ac:dyDescent="0.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</row>
    <row r="1839" spans="1:15" x14ac:dyDescent="0.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</row>
    <row r="1840" spans="1:15" x14ac:dyDescent="0.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</row>
    <row r="1841" spans="1:15" x14ac:dyDescent="0.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</row>
    <row r="1842" spans="1:15" x14ac:dyDescent="0.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</row>
    <row r="1843" spans="1:15" x14ac:dyDescent="0.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</row>
    <row r="1844" spans="1:15" x14ac:dyDescent="0.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</row>
    <row r="1845" spans="1:15" x14ac:dyDescent="0.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</row>
    <row r="1846" spans="1:15" x14ac:dyDescent="0.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</row>
    <row r="1847" spans="1:15" x14ac:dyDescent="0.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</row>
    <row r="1848" spans="1:15" x14ac:dyDescent="0.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</row>
    <row r="1849" spans="1:15" x14ac:dyDescent="0.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</row>
    <row r="1850" spans="1:15" x14ac:dyDescent="0.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</row>
    <row r="1851" spans="1:15" x14ac:dyDescent="0.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</row>
    <row r="1852" spans="1:15" x14ac:dyDescent="0.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</row>
    <row r="1853" spans="1:15" x14ac:dyDescent="0.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</row>
    <row r="1854" spans="1:15" x14ac:dyDescent="0.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</row>
    <row r="1855" spans="1:15" x14ac:dyDescent="0.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</row>
    <row r="1856" spans="1:15" x14ac:dyDescent="0.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</row>
    <row r="1857" spans="1:15" x14ac:dyDescent="0.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</row>
    <row r="1858" spans="1:15" x14ac:dyDescent="0.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</row>
    <row r="1859" spans="1:15" x14ac:dyDescent="0.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</row>
    <row r="1860" spans="1:15" x14ac:dyDescent="0.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</row>
    <row r="1861" spans="1:15" x14ac:dyDescent="0.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</row>
    <row r="1862" spans="1:15" x14ac:dyDescent="0.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</row>
    <row r="1863" spans="1:15" x14ac:dyDescent="0.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</row>
    <row r="1864" spans="1:15" x14ac:dyDescent="0.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</row>
    <row r="1865" spans="1:15" x14ac:dyDescent="0.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</row>
    <row r="1866" spans="1:15" x14ac:dyDescent="0.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</row>
    <row r="1867" spans="1:15" x14ac:dyDescent="0.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</row>
    <row r="1868" spans="1:15" x14ac:dyDescent="0.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</row>
    <row r="1869" spans="1:15" x14ac:dyDescent="0.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</row>
    <row r="1870" spans="1:15" x14ac:dyDescent="0.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</row>
    <row r="1871" spans="1:15" x14ac:dyDescent="0.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</row>
    <row r="1872" spans="1:15" x14ac:dyDescent="0.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</row>
    <row r="1873" spans="1:15" x14ac:dyDescent="0.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</row>
    <row r="1874" spans="1:15" x14ac:dyDescent="0.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</row>
    <row r="1875" spans="1:15" x14ac:dyDescent="0.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</row>
    <row r="1876" spans="1:15" x14ac:dyDescent="0.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</row>
    <row r="1877" spans="1:15" x14ac:dyDescent="0.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</row>
    <row r="1878" spans="1:15" x14ac:dyDescent="0.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</row>
    <row r="1879" spans="1:15" x14ac:dyDescent="0.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</row>
    <row r="1880" spans="1:15" x14ac:dyDescent="0.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</row>
    <row r="1881" spans="1:15" x14ac:dyDescent="0.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</row>
    <row r="1882" spans="1:15" x14ac:dyDescent="0.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</row>
    <row r="1883" spans="1:15" x14ac:dyDescent="0.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</row>
    <row r="1884" spans="1:15" x14ac:dyDescent="0.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</row>
    <row r="1885" spans="1:15" x14ac:dyDescent="0.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</row>
    <row r="1886" spans="1:15" x14ac:dyDescent="0.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</row>
    <row r="1887" spans="1:15" x14ac:dyDescent="0.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</row>
    <row r="1888" spans="1:15" x14ac:dyDescent="0.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</row>
    <row r="1889" spans="1:15" x14ac:dyDescent="0.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</row>
    <row r="1890" spans="1:15" x14ac:dyDescent="0.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</row>
    <row r="1891" spans="1:15" x14ac:dyDescent="0.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</row>
    <row r="1892" spans="1:15" x14ac:dyDescent="0.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</row>
    <row r="1893" spans="1:15" x14ac:dyDescent="0.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</row>
    <row r="1894" spans="1:15" x14ac:dyDescent="0.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</row>
    <row r="1895" spans="1:15" x14ac:dyDescent="0.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</row>
    <row r="1896" spans="1:15" x14ac:dyDescent="0.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</row>
    <row r="1897" spans="1:15" x14ac:dyDescent="0.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</row>
    <row r="1898" spans="1:15" x14ac:dyDescent="0.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</row>
    <row r="1899" spans="1:15" x14ac:dyDescent="0.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</row>
    <row r="1900" spans="1:15" x14ac:dyDescent="0.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</row>
    <row r="1901" spans="1:15" x14ac:dyDescent="0.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</row>
    <row r="1902" spans="1:15" x14ac:dyDescent="0.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</row>
    <row r="1903" spans="1:15" x14ac:dyDescent="0.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</row>
    <row r="1904" spans="1:15" x14ac:dyDescent="0.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</row>
    <row r="1905" spans="1:15" x14ac:dyDescent="0.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</row>
    <row r="1906" spans="1:15" x14ac:dyDescent="0.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</row>
    <row r="1907" spans="1:15" x14ac:dyDescent="0.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</row>
    <row r="1908" spans="1:15" x14ac:dyDescent="0.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</row>
    <row r="1909" spans="1:15" x14ac:dyDescent="0.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</row>
    <row r="1910" spans="1:15" x14ac:dyDescent="0.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</row>
    <row r="1911" spans="1:15" x14ac:dyDescent="0.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</row>
    <row r="1912" spans="1:15" x14ac:dyDescent="0.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</row>
    <row r="1913" spans="1:15" x14ac:dyDescent="0.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</row>
    <row r="1914" spans="1:15" x14ac:dyDescent="0.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</row>
    <row r="1915" spans="1:15" x14ac:dyDescent="0.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</row>
    <row r="1916" spans="1:15" x14ac:dyDescent="0.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</row>
    <row r="1917" spans="1:15" x14ac:dyDescent="0.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</row>
    <row r="1918" spans="1:15" x14ac:dyDescent="0.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</row>
    <row r="1919" spans="1:15" x14ac:dyDescent="0.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</row>
    <row r="1920" spans="1:15" x14ac:dyDescent="0.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</row>
    <row r="1921" spans="1:15" x14ac:dyDescent="0.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</row>
    <row r="1922" spans="1:15" x14ac:dyDescent="0.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</row>
    <row r="1923" spans="1:15" x14ac:dyDescent="0.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</row>
    <row r="1924" spans="1:15" x14ac:dyDescent="0.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</row>
    <row r="1925" spans="1:15" x14ac:dyDescent="0.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</row>
    <row r="1926" spans="1:15" x14ac:dyDescent="0.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</row>
    <row r="1927" spans="1:15" x14ac:dyDescent="0.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</row>
    <row r="1928" spans="1:15" x14ac:dyDescent="0.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</row>
    <row r="1929" spans="1:15" x14ac:dyDescent="0.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</row>
    <row r="1930" spans="1:15" x14ac:dyDescent="0.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</row>
    <row r="1931" spans="1:15" x14ac:dyDescent="0.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</row>
    <row r="1932" spans="1:15" x14ac:dyDescent="0.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</row>
    <row r="1933" spans="1:15" x14ac:dyDescent="0.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</row>
    <row r="1934" spans="1:15" x14ac:dyDescent="0.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</row>
    <row r="1935" spans="1:15" x14ac:dyDescent="0.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</row>
    <row r="1936" spans="1:15" x14ac:dyDescent="0.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</row>
    <row r="1937" spans="1:15" x14ac:dyDescent="0.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</row>
    <row r="1938" spans="1:15" x14ac:dyDescent="0.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</row>
    <row r="1939" spans="1:15" x14ac:dyDescent="0.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</row>
    <row r="1940" spans="1:15" x14ac:dyDescent="0.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</row>
    <row r="1941" spans="1:15" x14ac:dyDescent="0.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</row>
    <row r="1942" spans="1:15" x14ac:dyDescent="0.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</row>
    <row r="1943" spans="1:15" x14ac:dyDescent="0.2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</row>
    <row r="1944" spans="1:15" x14ac:dyDescent="0.2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</row>
    <row r="1945" spans="1:15" x14ac:dyDescent="0.2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</row>
    <row r="1946" spans="1:15" x14ac:dyDescent="0.2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</row>
    <row r="1947" spans="1:15" x14ac:dyDescent="0.2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</row>
    <row r="1948" spans="1:15" x14ac:dyDescent="0.2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</row>
    <row r="1949" spans="1:15" x14ac:dyDescent="0.2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</row>
    <row r="1950" spans="1:15" x14ac:dyDescent="0.2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</row>
    <row r="1951" spans="1:15" x14ac:dyDescent="0.2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</row>
    <row r="1952" spans="1:15" x14ac:dyDescent="0.2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</row>
    <row r="1953" spans="1:15" x14ac:dyDescent="0.2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</row>
    <row r="1954" spans="1:15" x14ac:dyDescent="0.2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</row>
    <row r="1955" spans="1:15" x14ac:dyDescent="0.2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</row>
    <row r="1956" spans="1:15" x14ac:dyDescent="0.2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</row>
    <row r="1957" spans="1:15" x14ac:dyDescent="0.2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</row>
    <row r="1958" spans="1:15" x14ac:dyDescent="0.2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</row>
    <row r="1959" spans="1:15" x14ac:dyDescent="0.2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</row>
    <row r="1960" spans="1:15" x14ac:dyDescent="0.2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</row>
    <row r="1961" spans="1:15" x14ac:dyDescent="0.2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</row>
    <row r="1962" spans="1:15" x14ac:dyDescent="0.2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</row>
    <row r="1963" spans="1:15" x14ac:dyDescent="0.2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</row>
    <row r="1964" spans="1:15" x14ac:dyDescent="0.2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</row>
    <row r="1965" spans="1:15" x14ac:dyDescent="0.2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</row>
    <row r="1966" spans="1:15" x14ac:dyDescent="0.2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</row>
    <row r="1967" spans="1:15" x14ac:dyDescent="0.2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</row>
    <row r="1968" spans="1:15" x14ac:dyDescent="0.2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</row>
    <row r="1969" spans="1:15" x14ac:dyDescent="0.2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</row>
    <row r="1970" spans="1:15" x14ac:dyDescent="0.2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</row>
    <row r="1971" spans="1:15" x14ac:dyDescent="0.2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</row>
    <row r="1972" spans="1:15" x14ac:dyDescent="0.2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</row>
    <row r="1973" spans="1:15" x14ac:dyDescent="0.2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</row>
    <row r="1974" spans="1:15" x14ac:dyDescent="0.2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</row>
    <row r="1975" spans="1:15" x14ac:dyDescent="0.2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</row>
    <row r="1976" spans="1:15" x14ac:dyDescent="0.2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</row>
    <row r="1977" spans="1:15" x14ac:dyDescent="0.2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</row>
    <row r="1978" spans="1:15" x14ac:dyDescent="0.2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</row>
    <row r="1979" spans="1:15" x14ac:dyDescent="0.2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</row>
    <row r="1980" spans="1:15" x14ac:dyDescent="0.2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</row>
    <row r="1981" spans="1:15" x14ac:dyDescent="0.2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</row>
    <row r="1982" spans="1:15" x14ac:dyDescent="0.2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</row>
    <row r="1983" spans="1:15" x14ac:dyDescent="0.2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</row>
    <row r="1984" spans="1:15" x14ac:dyDescent="0.2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</row>
    <row r="1985" spans="1:15" x14ac:dyDescent="0.2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</row>
    <row r="1986" spans="1:15" x14ac:dyDescent="0.2">
      <c r="A1986" s="43"/>
      <c r="B1986" s="43"/>
      <c r="C1986" s="43"/>
      <c r="D1986" s="43"/>
      <c r="E1986" s="43"/>
      <c r="F1986" s="43"/>
      <c r="G1986" s="43"/>
      <c r="H1986" s="43"/>
      <c r="I1986" s="43"/>
      <c r="J1986" s="43"/>
      <c r="K1986" s="43"/>
      <c r="L1986" s="43"/>
      <c r="M1986" s="43"/>
      <c r="N1986" s="43"/>
      <c r="O1986" s="43"/>
    </row>
    <row r="1987" spans="1:15" x14ac:dyDescent="0.2">
      <c r="A1987" s="43"/>
      <c r="B1987" s="43"/>
      <c r="C1987" s="43"/>
      <c r="D1987" s="43"/>
      <c r="E1987" s="43"/>
      <c r="F1987" s="43"/>
      <c r="G1987" s="43"/>
      <c r="H1987" s="43"/>
      <c r="I1987" s="43"/>
      <c r="J1987" s="43"/>
      <c r="K1987" s="43"/>
      <c r="L1987" s="43"/>
      <c r="M1987" s="43"/>
      <c r="N1987" s="43"/>
      <c r="O1987" s="43"/>
    </row>
    <row r="1988" spans="1:15" x14ac:dyDescent="0.2">
      <c r="A1988" s="43"/>
      <c r="B1988" s="43"/>
      <c r="C1988" s="43"/>
      <c r="D1988" s="43"/>
      <c r="E1988" s="43"/>
      <c r="F1988" s="43"/>
      <c r="G1988" s="43"/>
      <c r="H1988" s="43"/>
      <c r="I1988" s="43"/>
      <c r="J1988" s="43"/>
      <c r="K1988" s="43"/>
      <c r="L1988" s="43"/>
      <c r="M1988" s="43"/>
      <c r="N1988" s="43"/>
      <c r="O1988" s="43"/>
    </row>
    <row r="1989" spans="1:15" x14ac:dyDescent="0.2">
      <c r="A1989" s="43"/>
      <c r="B1989" s="43"/>
      <c r="C1989" s="43"/>
      <c r="D1989" s="43"/>
      <c r="E1989" s="43"/>
      <c r="F1989" s="43"/>
      <c r="G1989" s="43"/>
      <c r="H1989" s="43"/>
      <c r="I1989" s="43"/>
      <c r="J1989" s="43"/>
      <c r="K1989" s="43"/>
      <c r="L1989" s="43"/>
      <c r="M1989" s="43"/>
      <c r="N1989" s="43"/>
      <c r="O1989" s="43"/>
    </row>
    <row r="1990" spans="1:15" x14ac:dyDescent="0.2">
      <c r="A1990" s="43"/>
      <c r="B1990" s="43"/>
      <c r="C1990" s="43"/>
      <c r="D1990" s="43"/>
      <c r="E1990" s="43"/>
      <c r="F1990" s="43"/>
      <c r="G1990" s="43"/>
      <c r="H1990" s="43"/>
      <c r="I1990" s="43"/>
      <c r="J1990" s="43"/>
      <c r="K1990" s="43"/>
      <c r="L1990" s="43"/>
      <c r="M1990" s="43"/>
      <c r="N1990" s="43"/>
      <c r="O1990" s="43"/>
    </row>
    <row r="1991" spans="1:15" x14ac:dyDescent="0.2">
      <c r="A1991" s="43"/>
      <c r="B1991" s="43"/>
      <c r="C1991" s="43"/>
      <c r="D1991" s="43"/>
      <c r="E1991" s="43"/>
      <c r="F1991" s="43"/>
      <c r="G1991" s="43"/>
      <c r="H1991" s="43"/>
      <c r="I1991" s="43"/>
      <c r="J1991" s="43"/>
      <c r="K1991" s="43"/>
      <c r="L1991" s="43"/>
      <c r="M1991" s="43"/>
      <c r="N1991" s="43"/>
      <c r="O1991" s="43"/>
    </row>
    <row r="1992" spans="1:15" x14ac:dyDescent="0.2">
      <c r="A1992" s="43"/>
      <c r="B1992" s="43"/>
      <c r="C1992" s="43"/>
      <c r="D1992" s="43"/>
      <c r="E1992" s="43"/>
      <c r="F1992" s="43"/>
      <c r="G1992" s="43"/>
      <c r="H1992" s="43"/>
      <c r="I1992" s="43"/>
      <c r="J1992" s="43"/>
      <c r="K1992" s="43"/>
      <c r="L1992" s="43"/>
      <c r="M1992" s="43"/>
      <c r="N1992" s="43"/>
      <c r="O1992" s="43"/>
    </row>
    <row r="1993" spans="1:15" x14ac:dyDescent="0.2">
      <c r="A1993" s="43"/>
      <c r="B1993" s="43"/>
      <c r="C1993" s="43"/>
      <c r="D1993" s="43"/>
      <c r="E1993" s="43"/>
      <c r="F1993" s="43"/>
      <c r="G1993" s="43"/>
      <c r="H1993" s="43"/>
      <c r="I1993" s="43"/>
      <c r="J1993" s="43"/>
      <c r="K1993" s="43"/>
      <c r="L1993" s="43"/>
      <c r="M1993" s="43"/>
      <c r="N1993" s="43"/>
      <c r="O1993" s="43"/>
    </row>
    <row r="1994" spans="1:15" x14ac:dyDescent="0.2">
      <c r="A1994" s="43"/>
      <c r="B1994" s="43"/>
      <c r="C1994" s="43"/>
      <c r="D1994" s="43"/>
      <c r="E1994" s="43"/>
      <c r="F1994" s="43"/>
      <c r="G1994" s="43"/>
      <c r="H1994" s="43"/>
      <c r="I1994" s="43"/>
      <c r="J1994" s="43"/>
      <c r="K1994" s="43"/>
      <c r="L1994" s="43"/>
      <c r="M1994" s="43"/>
      <c r="N1994" s="43"/>
      <c r="O1994" s="43"/>
    </row>
    <row r="1995" spans="1:15" x14ac:dyDescent="0.2">
      <c r="A1995" s="43"/>
      <c r="B1995" s="43"/>
      <c r="C1995" s="43"/>
      <c r="D1995" s="43"/>
      <c r="E1995" s="43"/>
      <c r="F1995" s="43"/>
      <c r="G1995" s="43"/>
      <c r="H1995" s="43"/>
      <c r="I1995" s="43"/>
      <c r="J1995" s="43"/>
      <c r="K1995" s="43"/>
      <c r="L1995" s="43"/>
      <c r="M1995" s="43"/>
      <c r="N1995" s="43"/>
      <c r="O1995" s="43"/>
    </row>
    <row r="1996" spans="1:15" x14ac:dyDescent="0.2">
      <c r="A1996" s="43"/>
      <c r="B1996" s="43"/>
      <c r="C1996" s="43"/>
      <c r="D1996" s="43"/>
      <c r="E1996" s="43"/>
      <c r="F1996" s="43"/>
      <c r="G1996" s="43"/>
      <c r="H1996" s="43"/>
      <c r="I1996" s="43"/>
      <c r="J1996" s="43"/>
      <c r="K1996" s="43"/>
      <c r="L1996" s="43"/>
      <c r="M1996" s="43"/>
      <c r="N1996" s="43"/>
      <c r="O1996" s="43"/>
    </row>
    <row r="1997" spans="1:15" x14ac:dyDescent="0.2">
      <c r="A1997" s="43"/>
      <c r="B1997" s="43"/>
      <c r="C1997" s="43"/>
      <c r="D1997" s="43"/>
      <c r="E1997" s="43"/>
      <c r="F1997" s="43"/>
      <c r="G1997" s="43"/>
      <c r="H1997" s="43"/>
      <c r="I1997" s="43"/>
      <c r="J1997" s="43"/>
      <c r="K1997" s="43"/>
      <c r="L1997" s="43"/>
      <c r="M1997" s="43"/>
      <c r="N1997" s="43"/>
      <c r="O1997" s="43"/>
    </row>
    <row r="1998" spans="1:15" x14ac:dyDescent="0.2">
      <c r="A1998" s="43"/>
      <c r="B1998" s="43"/>
      <c r="C1998" s="43"/>
      <c r="D1998" s="43"/>
      <c r="E1998" s="43"/>
      <c r="F1998" s="43"/>
      <c r="G1998" s="43"/>
      <c r="H1998" s="43"/>
      <c r="I1998" s="43"/>
      <c r="J1998" s="43"/>
      <c r="K1998" s="43"/>
      <c r="L1998" s="43"/>
      <c r="M1998" s="43"/>
      <c r="N1998" s="43"/>
      <c r="O1998" s="43"/>
    </row>
    <row r="1999" spans="1:15" x14ac:dyDescent="0.2">
      <c r="A1999" s="43"/>
      <c r="B1999" s="43"/>
      <c r="C1999" s="43"/>
      <c r="D1999" s="43"/>
      <c r="E1999" s="43"/>
      <c r="F1999" s="43"/>
      <c r="G1999" s="43"/>
      <c r="H1999" s="43"/>
      <c r="I1999" s="43"/>
      <c r="J1999" s="43"/>
      <c r="K1999" s="43"/>
      <c r="L1999" s="43"/>
      <c r="M1999" s="43"/>
      <c r="N1999" s="43"/>
      <c r="O1999" s="43"/>
    </row>
    <row r="2000" spans="1:15" x14ac:dyDescent="0.2">
      <c r="A2000" s="43"/>
      <c r="B2000" s="43"/>
      <c r="C2000" s="43"/>
      <c r="D2000" s="43"/>
      <c r="E2000" s="43"/>
      <c r="F2000" s="43"/>
      <c r="G2000" s="43"/>
      <c r="H2000" s="43"/>
      <c r="I2000" s="43"/>
      <c r="J2000" s="43"/>
      <c r="K2000" s="43"/>
      <c r="L2000" s="43"/>
      <c r="M2000" s="43"/>
      <c r="N2000" s="43"/>
      <c r="O2000" s="43"/>
    </row>
    <row r="2001" spans="1:15" x14ac:dyDescent="0.2">
      <c r="A2001" s="43"/>
      <c r="B2001" s="43"/>
      <c r="C2001" s="43"/>
      <c r="D2001" s="43"/>
      <c r="E2001" s="43"/>
      <c r="F2001" s="43"/>
      <c r="G2001" s="43"/>
      <c r="H2001" s="43"/>
      <c r="I2001" s="43"/>
      <c r="J2001" s="43"/>
      <c r="K2001" s="43"/>
      <c r="L2001" s="43"/>
      <c r="M2001" s="43"/>
      <c r="N2001" s="43"/>
      <c r="O2001" s="43"/>
    </row>
    <row r="2002" spans="1:15" x14ac:dyDescent="0.2">
      <c r="A2002" s="43"/>
      <c r="B2002" s="43"/>
      <c r="C2002" s="43"/>
      <c r="D2002" s="43"/>
      <c r="E2002" s="43"/>
      <c r="F2002" s="43"/>
      <c r="G2002" s="43"/>
      <c r="H2002" s="43"/>
      <c r="I2002" s="43"/>
      <c r="J2002" s="43"/>
      <c r="K2002" s="43"/>
      <c r="L2002" s="43"/>
      <c r="M2002" s="43"/>
      <c r="N2002" s="43"/>
      <c r="O2002" s="43"/>
    </row>
    <row r="2003" spans="1:15" x14ac:dyDescent="0.2">
      <c r="A2003" s="43"/>
      <c r="B2003" s="43"/>
      <c r="C2003" s="43"/>
      <c r="D2003" s="43"/>
      <c r="E2003" s="43"/>
      <c r="F2003" s="43"/>
      <c r="G2003" s="43"/>
      <c r="H2003" s="43"/>
      <c r="I2003" s="43"/>
      <c r="J2003" s="43"/>
      <c r="K2003" s="43"/>
      <c r="L2003" s="43"/>
      <c r="M2003" s="43"/>
      <c r="N2003" s="43"/>
      <c r="O2003" s="43"/>
    </row>
    <row r="2004" spans="1:15" x14ac:dyDescent="0.2">
      <c r="A2004" s="43"/>
      <c r="B2004" s="43"/>
      <c r="C2004" s="43"/>
      <c r="D2004" s="43"/>
      <c r="E2004" s="43"/>
      <c r="F2004" s="43"/>
      <c r="G2004" s="43"/>
      <c r="H2004" s="43"/>
      <c r="I2004" s="43"/>
      <c r="J2004" s="43"/>
      <c r="K2004" s="43"/>
      <c r="L2004" s="43"/>
      <c r="M2004" s="43"/>
      <c r="N2004" s="43"/>
      <c r="O2004" s="43"/>
    </row>
    <row r="2005" spans="1:15" x14ac:dyDescent="0.2">
      <c r="A2005" s="43"/>
      <c r="B2005" s="43"/>
      <c r="C2005" s="43"/>
      <c r="D2005" s="43"/>
      <c r="E2005" s="43"/>
      <c r="F2005" s="43"/>
      <c r="G2005" s="43"/>
      <c r="H2005" s="43"/>
      <c r="I2005" s="43"/>
      <c r="J2005" s="43"/>
      <c r="K2005" s="43"/>
      <c r="L2005" s="43"/>
      <c r="M2005" s="43"/>
      <c r="N2005" s="43"/>
      <c r="O2005" s="43"/>
    </row>
    <row r="2006" spans="1:15" x14ac:dyDescent="0.2">
      <c r="A2006" s="43"/>
      <c r="B2006" s="43"/>
      <c r="C2006" s="43"/>
      <c r="D2006" s="43"/>
      <c r="E2006" s="43"/>
      <c r="F2006" s="43"/>
      <c r="G2006" s="43"/>
      <c r="H2006" s="43"/>
      <c r="I2006" s="43"/>
      <c r="J2006" s="43"/>
      <c r="K2006" s="43"/>
      <c r="L2006" s="43"/>
      <c r="M2006" s="43"/>
      <c r="N2006" s="43"/>
      <c r="O2006" s="43"/>
    </row>
    <row r="2007" spans="1:15" x14ac:dyDescent="0.2">
      <c r="A2007" s="43"/>
      <c r="B2007" s="43"/>
      <c r="C2007" s="43"/>
      <c r="D2007" s="43"/>
      <c r="E2007" s="43"/>
      <c r="F2007" s="43"/>
      <c r="G2007" s="43"/>
      <c r="H2007" s="43"/>
      <c r="I2007" s="43"/>
      <c r="J2007" s="43"/>
      <c r="K2007" s="43"/>
      <c r="L2007" s="43"/>
      <c r="M2007" s="43"/>
    </row>
    <row r="2008" spans="1:15" x14ac:dyDescent="0.2">
      <c r="A2008" s="43"/>
      <c r="B2008" s="43"/>
      <c r="C2008" s="43"/>
      <c r="D2008" s="43"/>
      <c r="E2008" s="43"/>
      <c r="F2008" s="43"/>
      <c r="G2008" s="43"/>
      <c r="H2008" s="43"/>
      <c r="I2008" s="43"/>
      <c r="J2008" s="43"/>
      <c r="K2008" s="43"/>
      <c r="L2008" s="43"/>
      <c r="M2008" s="43"/>
    </row>
    <row r="2009" spans="1:15" x14ac:dyDescent="0.2">
      <c r="A2009" s="43"/>
      <c r="B2009" s="43"/>
      <c r="C2009" s="43"/>
      <c r="D2009" s="43"/>
      <c r="E2009" s="43"/>
      <c r="F2009" s="43"/>
      <c r="G2009" s="43"/>
      <c r="H2009" s="43"/>
      <c r="I2009" s="43"/>
      <c r="J2009" s="43"/>
      <c r="K2009" s="43"/>
      <c r="L2009" s="43"/>
      <c r="M2009" s="43"/>
    </row>
    <row r="2010" spans="1:15" x14ac:dyDescent="0.2">
      <c r="A2010" s="43"/>
      <c r="B2010" s="43"/>
      <c r="C2010" s="43"/>
      <c r="D2010" s="43"/>
      <c r="E2010" s="43"/>
      <c r="F2010" s="43"/>
      <c r="G2010" s="43"/>
      <c r="H2010" s="43"/>
      <c r="I2010" s="43"/>
      <c r="J2010" s="43"/>
      <c r="K2010" s="43"/>
      <c r="L2010" s="43"/>
      <c r="M2010" s="43"/>
    </row>
    <row r="2011" spans="1:15" x14ac:dyDescent="0.2">
      <c r="A2011" s="43"/>
      <c r="B2011" s="43"/>
      <c r="C2011" s="43"/>
      <c r="D2011" s="43"/>
      <c r="E2011" s="43"/>
      <c r="F2011" s="43"/>
      <c r="G2011" s="43"/>
      <c r="H2011" s="43"/>
      <c r="I2011" s="43"/>
      <c r="J2011" s="43"/>
      <c r="K2011" s="43"/>
      <c r="L2011" s="43"/>
      <c r="M2011" s="43"/>
    </row>
    <row r="2012" spans="1:15" x14ac:dyDescent="0.2">
      <c r="A2012" s="43"/>
      <c r="B2012" s="43"/>
      <c r="C2012" s="43"/>
      <c r="D2012" s="43"/>
      <c r="E2012" s="43"/>
      <c r="F2012" s="43"/>
      <c r="G2012" s="43"/>
      <c r="H2012" s="43"/>
      <c r="I2012" s="43"/>
      <c r="J2012" s="43"/>
      <c r="K2012" s="43"/>
      <c r="L2012" s="43"/>
      <c r="M2012" s="43"/>
    </row>
    <row r="2013" spans="1:15" x14ac:dyDescent="0.2">
      <c r="A2013" s="43"/>
      <c r="B2013" s="43"/>
      <c r="C2013" s="43"/>
      <c r="D2013" s="43"/>
      <c r="E2013" s="43"/>
      <c r="F2013" s="43"/>
      <c r="G2013" s="43"/>
      <c r="H2013" s="43"/>
      <c r="I2013" s="43"/>
      <c r="J2013" s="43"/>
      <c r="K2013" s="43"/>
      <c r="L2013" s="43"/>
      <c r="M2013" s="43"/>
    </row>
    <row r="2014" spans="1:15" x14ac:dyDescent="0.2">
      <c r="A2014" s="43"/>
      <c r="B2014" s="43"/>
      <c r="C2014" s="43"/>
      <c r="D2014" s="43"/>
      <c r="E2014" s="43"/>
      <c r="F2014" s="43"/>
      <c r="G2014" s="43"/>
      <c r="H2014" s="43"/>
      <c r="I2014" s="43"/>
      <c r="J2014" s="43"/>
      <c r="K2014" s="43"/>
      <c r="L2014" s="43"/>
      <c r="M2014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35E6-6A1D-4211-96B7-CBEBEEA8246E}">
  <dimension ref="A1:O2010"/>
  <sheetViews>
    <sheetView zoomScale="90" zoomScaleNormal="90" workbookViewId="0">
      <selection activeCell="D1" sqref="D1"/>
    </sheetView>
  </sheetViews>
  <sheetFormatPr defaultRowHeight="12.75" x14ac:dyDescent="0.2"/>
  <cols>
    <col min="1" max="1" width="16.140625" style="41" bestFit="1" customWidth="1"/>
    <col min="2" max="2" width="41.140625" style="41" bestFit="1" customWidth="1"/>
    <col min="3" max="3" width="12" style="41" bestFit="1" customWidth="1"/>
    <col min="4" max="14" width="13.5703125" style="41" bestFit="1" customWidth="1"/>
    <col min="15" max="15" width="12" style="41" bestFit="1" customWidth="1"/>
    <col min="16" max="16384" width="9.140625" style="41"/>
  </cols>
  <sheetData>
    <row r="1" spans="1:15" ht="15" x14ac:dyDescent="0.25">
      <c r="A1" s="44" t="s">
        <v>11</v>
      </c>
      <c r="B1" s="45" t="s">
        <v>47</v>
      </c>
      <c r="D1" s="42" t="s">
        <v>161</v>
      </c>
    </row>
    <row r="2" spans="1:15" x14ac:dyDescent="0.2">
      <c r="A2" s="44" t="s">
        <v>14</v>
      </c>
      <c r="B2" s="45" t="s">
        <v>56</v>
      </c>
    </row>
    <row r="4" spans="1:15" x14ac:dyDescent="0.2">
      <c r="A4" s="44" t="s">
        <v>160</v>
      </c>
      <c r="B4" s="45"/>
      <c r="C4" s="44" t="s">
        <v>7</v>
      </c>
      <c r="D4" s="44" t="s">
        <v>8</v>
      </c>
      <c r="E4"/>
      <c r="F4"/>
      <c r="G4"/>
      <c r="H4"/>
      <c r="I4"/>
      <c r="J4"/>
      <c r="K4"/>
      <c r="L4"/>
      <c r="M4"/>
      <c r="N4"/>
      <c r="O4"/>
    </row>
    <row r="5" spans="1:15" x14ac:dyDescent="0.2">
      <c r="A5" s="45"/>
      <c r="B5" s="45"/>
      <c r="C5" s="45">
        <v>2026</v>
      </c>
      <c r="D5" s="45" t="s">
        <v>1</v>
      </c>
      <c r="E5"/>
      <c r="F5"/>
      <c r="G5"/>
      <c r="H5"/>
      <c r="I5"/>
      <c r="J5"/>
      <c r="K5"/>
      <c r="L5"/>
      <c r="M5"/>
      <c r="N5"/>
      <c r="O5"/>
    </row>
    <row r="6" spans="1:15" x14ac:dyDescent="0.2">
      <c r="A6" s="44" t="s">
        <v>4</v>
      </c>
      <c r="B6" s="44" t="s">
        <v>5</v>
      </c>
      <c r="C6" s="45">
        <v>7</v>
      </c>
      <c r="D6" s="45"/>
      <c r="E6"/>
      <c r="F6"/>
      <c r="G6"/>
      <c r="H6"/>
      <c r="I6"/>
      <c r="J6"/>
      <c r="K6"/>
      <c r="L6"/>
      <c r="M6"/>
      <c r="N6"/>
      <c r="O6"/>
    </row>
    <row r="7" spans="1:15" x14ac:dyDescent="0.2">
      <c r="A7" s="45">
        <v>1000001232</v>
      </c>
      <c r="B7" s="45" t="s">
        <v>90</v>
      </c>
      <c r="C7" s="46">
        <v>20</v>
      </c>
      <c r="D7" s="46">
        <v>20</v>
      </c>
      <c r="E7"/>
      <c r="F7"/>
      <c r="G7"/>
      <c r="H7"/>
      <c r="I7"/>
      <c r="J7"/>
      <c r="K7"/>
      <c r="L7"/>
      <c r="M7"/>
      <c r="N7"/>
      <c r="O7"/>
    </row>
    <row r="8" spans="1:15" x14ac:dyDescent="0.2">
      <c r="A8" s="45">
        <v>1000001301</v>
      </c>
      <c r="B8" s="45" t="s">
        <v>142</v>
      </c>
      <c r="C8" s="46">
        <v>1742</v>
      </c>
      <c r="D8" s="46">
        <v>1742</v>
      </c>
      <c r="E8"/>
      <c r="F8"/>
      <c r="G8"/>
      <c r="H8"/>
      <c r="I8"/>
      <c r="J8"/>
      <c r="K8"/>
      <c r="L8"/>
      <c r="M8"/>
      <c r="N8"/>
      <c r="O8"/>
    </row>
    <row r="9" spans="1:15" x14ac:dyDescent="0.2">
      <c r="A9" s="45">
        <v>1000001309</v>
      </c>
      <c r="B9" s="45" t="s">
        <v>77</v>
      </c>
      <c r="C9" s="46">
        <v>32</v>
      </c>
      <c r="D9" s="46">
        <v>32</v>
      </c>
      <c r="E9"/>
      <c r="F9"/>
      <c r="G9"/>
      <c r="H9"/>
      <c r="I9"/>
      <c r="J9"/>
      <c r="K9"/>
      <c r="L9"/>
      <c r="M9"/>
      <c r="N9"/>
      <c r="O9"/>
    </row>
    <row r="10" spans="1:15" x14ac:dyDescent="0.2">
      <c r="A10" s="45">
        <v>1000001314</v>
      </c>
      <c r="B10" s="45" t="s">
        <v>78</v>
      </c>
      <c r="C10" s="46">
        <v>490</v>
      </c>
      <c r="D10" s="46">
        <v>490</v>
      </c>
      <c r="E10"/>
      <c r="F10"/>
      <c r="G10"/>
      <c r="H10"/>
      <c r="I10"/>
      <c r="J10"/>
      <c r="K10"/>
      <c r="L10"/>
      <c r="M10"/>
      <c r="N10"/>
      <c r="O10"/>
    </row>
    <row r="11" spans="1:15" x14ac:dyDescent="0.2">
      <c r="A11" s="45">
        <v>1000001397</v>
      </c>
      <c r="B11" s="45" t="s">
        <v>75</v>
      </c>
      <c r="C11" s="46">
        <v>751</v>
      </c>
      <c r="D11" s="46">
        <v>751</v>
      </c>
      <c r="E11"/>
      <c r="F11"/>
      <c r="G11"/>
      <c r="H11"/>
      <c r="I11"/>
      <c r="J11"/>
      <c r="K11"/>
      <c r="L11"/>
      <c r="M11"/>
      <c r="N11"/>
      <c r="O11"/>
    </row>
    <row r="12" spans="1:15" x14ac:dyDescent="0.2">
      <c r="A12" s="45">
        <v>1000001723</v>
      </c>
      <c r="B12" s="45" t="s">
        <v>144</v>
      </c>
      <c r="C12" s="46">
        <v>2107</v>
      </c>
      <c r="D12" s="46">
        <v>2107</v>
      </c>
      <c r="E12"/>
      <c r="F12"/>
      <c r="G12"/>
      <c r="H12"/>
      <c r="I12"/>
      <c r="J12"/>
      <c r="K12"/>
      <c r="L12"/>
      <c r="M12"/>
      <c r="N12"/>
      <c r="O12"/>
    </row>
    <row r="13" spans="1:15" x14ac:dyDescent="0.2">
      <c r="A13" s="45">
        <v>1000001725</v>
      </c>
      <c r="B13" s="45" t="s">
        <v>152</v>
      </c>
      <c r="C13" s="46">
        <v>473</v>
      </c>
      <c r="D13" s="46">
        <v>473</v>
      </c>
      <c r="E13"/>
      <c r="F13"/>
      <c r="G13"/>
      <c r="H13"/>
      <c r="I13"/>
      <c r="J13"/>
      <c r="K13"/>
      <c r="L13"/>
      <c r="M13"/>
      <c r="N13"/>
      <c r="O13"/>
    </row>
    <row r="14" spans="1:15" x14ac:dyDescent="0.2">
      <c r="A14" s="45">
        <v>1000001728</v>
      </c>
      <c r="B14" s="45" t="s">
        <v>151</v>
      </c>
      <c r="C14" s="46">
        <v>1189</v>
      </c>
      <c r="D14" s="46">
        <v>1189</v>
      </c>
      <c r="E14"/>
      <c r="F14"/>
      <c r="G14"/>
      <c r="H14"/>
      <c r="I14"/>
      <c r="J14"/>
      <c r="K14"/>
      <c r="L14"/>
      <c r="M14"/>
      <c r="N14"/>
      <c r="O14"/>
    </row>
    <row r="15" spans="1:15" x14ac:dyDescent="0.2">
      <c r="A15" s="45">
        <v>1000001733</v>
      </c>
      <c r="B15" s="45" t="s">
        <v>150</v>
      </c>
      <c r="C15" s="46">
        <v>2676</v>
      </c>
      <c r="D15" s="46">
        <v>2676</v>
      </c>
      <c r="E15"/>
      <c r="F15"/>
      <c r="G15"/>
      <c r="H15"/>
      <c r="I15"/>
      <c r="J15"/>
      <c r="K15"/>
      <c r="L15"/>
      <c r="M15"/>
      <c r="N15"/>
      <c r="O15"/>
    </row>
    <row r="16" spans="1:15" x14ac:dyDescent="0.2">
      <c r="A16" s="45">
        <v>1000001934</v>
      </c>
      <c r="B16" s="45" t="s">
        <v>125</v>
      </c>
      <c r="C16" s="46">
        <v>1395</v>
      </c>
      <c r="D16" s="46">
        <v>1395</v>
      </c>
      <c r="E16"/>
      <c r="F16"/>
      <c r="G16"/>
      <c r="H16"/>
      <c r="I16"/>
      <c r="J16"/>
      <c r="K16"/>
      <c r="L16"/>
      <c r="M16"/>
      <c r="N16"/>
      <c r="O16"/>
    </row>
    <row r="17" spans="1:15" x14ac:dyDescent="0.2">
      <c r="A17" s="45">
        <v>1000001950</v>
      </c>
      <c r="B17" s="45" t="s">
        <v>83</v>
      </c>
      <c r="C17" s="46">
        <v>647</v>
      </c>
      <c r="D17" s="46">
        <v>647</v>
      </c>
      <c r="E17"/>
      <c r="F17"/>
      <c r="G17"/>
      <c r="H17"/>
      <c r="I17"/>
      <c r="J17"/>
      <c r="K17"/>
      <c r="L17"/>
      <c r="M17"/>
      <c r="N17"/>
      <c r="O17"/>
    </row>
    <row r="18" spans="1:15" x14ac:dyDescent="0.2">
      <c r="A18" s="45">
        <v>1000001992</v>
      </c>
      <c r="B18" s="45" t="s">
        <v>105</v>
      </c>
      <c r="C18" s="46">
        <v>792</v>
      </c>
      <c r="D18" s="46">
        <v>792</v>
      </c>
      <c r="E18"/>
      <c r="F18"/>
      <c r="G18"/>
      <c r="H18"/>
      <c r="I18"/>
      <c r="J18"/>
      <c r="K18"/>
      <c r="L18"/>
      <c r="M18"/>
      <c r="N18"/>
      <c r="O18"/>
    </row>
    <row r="19" spans="1:15" x14ac:dyDescent="0.2">
      <c r="A19" s="45">
        <v>1000001998</v>
      </c>
      <c r="B19" s="45" t="s">
        <v>107</v>
      </c>
      <c r="C19" s="46">
        <v>971</v>
      </c>
      <c r="D19" s="46">
        <v>971</v>
      </c>
      <c r="E19"/>
      <c r="F19"/>
      <c r="G19"/>
      <c r="H19"/>
      <c r="I19"/>
      <c r="J19"/>
      <c r="K19"/>
      <c r="L19"/>
      <c r="M19"/>
      <c r="N19"/>
      <c r="O19"/>
    </row>
    <row r="20" spans="1:15" x14ac:dyDescent="0.2">
      <c r="A20" s="45">
        <v>1000002002</v>
      </c>
      <c r="B20" s="45" t="s">
        <v>106</v>
      </c>
      <c r="C20" s="46">
        <v>90</v>
      </c>
      <c r="D20" s="46">
        <v>90</v>
      </c>
      <c r="E20"/>
      <c r="F20"/>
      <c r="G20"/>
      <c r="H20"/>
      <c r="I20"/>
      <c r="J20"/>
      <c r="K20"/>
      <c r="L20"/>
      <c r="M20"/>
      <c r="N20"/>
      <c r="O20"/>
    </row>
    <row r="21" spans="1:15" x14ac:dyDescent="0.2">
      <c r="A21" s="45">
        <v>1000002006</v>
      </c>
      <c r="B21" s="45" t="s">
        <v>104</v>
      </c>
      <c r="C21" s="46">
        <v>412</v>
      </c>
      <c r="D21" s="46">
        <v>412</v>
      </c>
      <c r="E21"/>
      <c r="F21"/>
      <c r="G21"/>
      <c r="H21"/>
      <c r="I21"/>
      <c r="J21"/>
      <c r="K21"/>
      <c r="L21"/>
      <c r="M21"/>
      <c r="N21"/>
      <c r="O21"/>
    </row>
    <row r="22" spans="1:15" x14ac:dyDescent="0.2">
      <c r="A22" s="45">
        <v>1000002022</v>
      </c>
      <c r="B22" s="45" t="s">
        <v>129</v>
      </c>
      <c r="C22" s="46">
        <v>182</v>
      </c>
      <c r="D22" s="46">
        <v>182</v>
      </c>
      <c r="E22"/>
      <c r="F22"/>
      <c r="G22"/>
      <c r="H22"/>
      <c r="I22"/>
      <c r="J22"/>
      <c r="K22"/>
      <c r="L22"/>
      <c r="M22"/>
      <c r="N22"/>
      <c r="O22"/>
    </row>
    <row r="23" spans="1:15" x14ac:dyDescent="0.2">
      <c r="A23" s="45">
        <v>1000002037</v>
      </c>
      <c r="B23" s="45" t="s">
        <v>155</v>
      </c>
      <c r="C23" s="46">
        <v>630</v>
      </c>
      <c r="D23" s="46">
        <v>630</v>
      </c>
      <c r="E23"/>
      <c r="F23"/>
      <c r="G23"/>
      <c r="H23"/>
      <c r="I23"/>
      <c r="J23"/>
      <c r="K23"/>
      <c r="L23"/>
      <c r="M23"/>
      <c r="N23"/>
      <c r="O23"/>
    </row>
    <row r="24" spans="1:15" x14ac:dyDescent="0.2">
      <c r="A24" s="45">
        <v>1000002039</v>
      </c>
      <c r="B24" s="45" t="s">
        <v>158</v>
      </c>
      <c r="C24" s="46">
        <v>1147</v>
      </c>
      <c r="D24" s="46">
        <v>1147</v>
      </c>
      <c r="E24"/>
      <c r="F24"/>
      <c r="G24"/>
      <c r="H24"/>
      <c r="I24"/>
      <c r="J24"/>
      <c r="K24"/>
      <c r="L24"/>
      <c r="M24"/>
      <c r="N24"/>
      <c r="O24"/>
    </row>
    <row r="25" spans="1:15" x14ac:dyDescent="0.2">
      <c r="A25" s="45">
        <v>1000002041</v>
      </c>
      <c r="B25" s="45" t="s">
        <v>156</v>
      </c>
      <c r="C25" s="46">
        <v>1504</v>
      </c>
      <c r="D25" s="46">
        <v>1504</v>
      </c>
      <c r="E25"/>
      <c r="F25"/>
      <c r="G25"/>
      <c r="H25"/>
      <c r="I25"/>
      <c r="J25"/>
      <c r="K25"/>
      <c r="L25"/>
      <c r="M25"/>
      <c r="N25"/>
      <c r="O25"/>
    </row>
    <row r="26" spans="1:15" x14ac:dyDescent="0.2">
      <c r="A26" s="45">
        <v>1000002194</v>
      </c>
      <c r="B26" s="45" t="s">
        <v>114</v>
      </c>
      <c r="C26" s="46">
        <v>2328</v>
      </c>
      <c r="D26" s="46">
        <v>2328</v>
      </c>
      <c r="E26"/>
      <c r="F26"/>
      <c r="G26"/>
      <c r="H26"/>
      <c r="I26"/>
      <c r="J26"/>
      <c r="K26"/>
      <c r="L26"/>
      <c r="M26"/>
      <c r="N26"/>
      <c r="O26"/>
    </row>
    <row r="27" spans="1:15" x14ac:dyDescent="0.2">
      <c r="A27" s="45">
        <v>1000002271</v>
      </c>
      <c r="B27" s="45" t="s">
        <v>131</v>
      </c>
      <c r="C27" s="46">
        <v>1558</v>
      </c>
      <c r="D27" s="46">
        <v>1558</v>
      </c>
      <c r="E27"/>
      <c r="F27"/>
      <c r="G27"/>
      <c r="H27"/>
      <c r="I27"/>
      <c r="J27"/>
      <c r="K27"/>
      <c r="L27"/>
      <c r="M27"/>
      <c r="N27"/>
      <c r="O27"/>
    </row>
    <row r="28" spans="1:15" x14ac:dyDescent="0.2">
      <c r="A28" s="45">
        <v>1000002360</v>
      </c>
      <c r="B28" s="45" t="s">
        <v>61</v>
      </c>
      <c r="C28" s="46">
        <v>401</v>
      </c>
      <c r="D28" s="46">
        <v>401</v>
      </c>
      <c r="E28"/>
      <c r="F28"/>
      <c r="G28"/>
      <c r="H28"/>
      <c r="I28"/>
      <c r="J28"/>
      <c r="K28"/>
      <c r="L28"/>
      <c r="M28"/>
      <c r="N28"/>
      <c r="O28"/>
    </row>
    <row r="29" spans="1:15" x14ac:dyDescent="0.2">
      <c r="A29" s="45">
        <v>1000002396</v>
      </c>
      <c r="B29" s="45" t="s">
        <v>136</v>
      </c>
      <c r="C29" s="46">
        <v>2400</v>
      </c>
      <c r="D29" s="46">
        <v>2400</v>
      </c>
      <c r="E29"/>
      <c r="F29"/>
      <c r="G29"/>
      <c r="H29"/>
      <c r="I29"/>
      <c r="J29"/>
      <c r="K29"/>
      <c r="L29"/>
      <c r="M29"/>
      <c r="N29"/>
      <c r="O29"/>
    </row>
    <row r="30" spans="1:15" x14ac:dyDescent="0.2">
      <c r="A30" s="45">
        <v>1000002804</v>
      </c>
      <c r="B30" s="45" t="s">
        <v>128</v>
      </c>
      <c r="C30" s="46">
        <v>29</v>
      </c>
      <c r="D30" s="46">
        <v>29</v>
      </c>
      <c r="E30"/>
      <c r="F30"/>
      <c r="G30"/>
      <c r="H30"/>
      <c r="I30"/>
      <c r="J30"/>
      <c r="K30"/>
      <c r="L30"/>
      <c r="M30"/>
      <c r="N30"/>
      <c r="O30"/>
    </row>
    <row r="31" spans="1:15" x14ac:dyDescent="0.2">
      <c r="A31" s="45">
        <v>1000002810</v>
      </c>
      <c r="B31" s="45" t="s">
        <v>95</v>
      </c>
      <c r="C31" s="46">
        <v>366</v>
      </c>
      <c r="D31" s="46">
        <v>366</v>
      </c>
      <c r="E31"/>
      <c r="F31"/>
      <c r="G31"/>
      <c r="H31"/>
      <c r="I31"/>
      <c r="J31"/>
      <c r="K31"/>
      <c r="L31"/>
      <c r="M31"/>
      <c r="N31"/>
      <c r="O31"/>
    </row>
    <row r="32" spans="1:15" x14ac:dyDescent="0.2">
      <c r="A32" s="45">
        <v>1000003110</v>
      </c>
      <c r="B32" s="45" t="s">
        <v>127</v>
      </c>
      <c r="C32" s="46">
        <v>2945</v>
      </c>
      <c r="D32" s="46">
        <v>2945</v>
      </c>
      <c r="E32"/>
      <c r="F32"/>
      <c r="G32"/>
      <c r="H32"/>
      <c r="I32"/>
      <c r="J32"/>
      <c r="K32"/>
      <c r="L32"/>
      <c r="M32"/>
      <c r="N32"/>
      <c r="O32"/>
    </row>
    <row r="33" spans="1:15" x14ac:dyDescent="0.2">
      <c r="A33" s="45">
        <v>1000003132</v>
      </c>
      <c r="B33" s="45" t="s">
        <v>116</v>
      </c>
      <c r="C33" s="46">
        <v>1314</v>
      </c>
      <c r="D33" s="46">
        <v>1314</v>
      </c>
      <c r="E33"/>
      <c r="F33"/>
      <c r="G33"/>
      <c r="H33"/>
      <c r="I33"/>
      <c r="J33"/>
      <c r="K33"/>
      <c r="L33"/>
      <c r="M33"/>
      <c r="N33"/>
      <c r="O33"/>
    </row>
    <row r="34" spans="1:15" x14ac:dyDescent="0.2">
      <c r="A34" s="45">
        <v>1000003169</v>
      </c>
      <c r="B34" s="45" t="s">
        <v>102</v>
      </c>
      <c r="C34" s="46">
        <v>1644</v>
      </c>
      <c r="D34" s="46">
        <v>1644</v>
      </c>
      <c r="E34"/>
      <c r="F34"/>
      <c r="G34"/>
      <c r="H34"/>
      <c r="I34"/>
      <c r="J34"/>
      <c r="K34"/>
      <c r="L34"/>
      <c r="M34"/>
      <c r="N34"/>
      <c r="O34"/>
    </row>
    <row r="35" spans="1:15" x14ac:dyDescent="0.2">
      <c r="A35" s="45">
        <v>1000003177</v>
      </c>
      <c r="B35" s="45" t="s">
        <v>110</v>
      </c>
      <c r="C35" s="46">
        <v>944</v>
      </c>
      <c r="D35" s="46">
        <v>944</v>
      </c>
      <c r="E35"/>
      <c r="F35"/>
      <c r="G35"/>
      <c r="H35"/>
      <c r="I35"/>
      <c r="J35"/>
      <c r="K35"/>
      <c r="L35"/>
      <c r="M35"/>
      <c r="N35"/>
      <c r="O35"/>
    </row>
    <row r="36" spans="1:15" x14ac:dyDescent="0.2">
      <c r="A36" s="45">
        <v>1000003180</v>
      </c>
      <c r="B36" s="45" t="s">
        <v>88</v>
      </c>
      <c r="C36" s="46">
        <v>438</v>
      </c>
      <c r="D36" s="46">
        <v>438</v>
      </c>
      <c r="E36"/>
      <c r="F36"/>
      <c r="G36"/>
      <c r="H36"/>
      <c r="I36"/>
      <c r="J36"/>
      <c r="K36"/>
      <c r="L36"/>
      <c r="M36"/>
      <c r="N36"/>
      <c r="O36"/>
    </row>
    <row r="37" spans="1:15" x14ac:dyDescent="0.2">
      <c r="A37" s="45">
        <v>1000003205</v>
      </c>
      <c r="B37" s="45" t="s">
        <v>148</v>
      </c>
      <c r="C37" s="46">
        <v>850</v>
      </c>
      <c r="D37" s="46">
        <v>850</v>
      </c>
      <c r="E37"/>
      <c r="F37"/>
      <c r="G37"/>
      <c r="H37"/>
      <c r="I37"/>
      <c r="J37"/>
      <c r="K37"/>
      <c r="L37"/>
      <c r="M37"/>
      <c r="N37"/>
      <c r="O37"/>
    </row>
    <row r="38" spans="1:15" x14ac:dyDescent="0.2">
      <c r="A38" s="45">
        <v>1000003229</v>
      </c>
      <c r="B38" s="45" t="s">
        <v>121</v>
      </c>
      <c r="C38" s="46">
        <v>191</v>
      </c>
      <c r="D38" s="46">
        <v>191</v>
      </c>
      <c r="E38"/>
      <c r="F38"/>
      <c r="G38"/>
      <c r="H38"/>
      <c r="I38"/>
      <c r="J38"/>
      <c r="K38"/>
      <c r="L38"/>
      <c r="M38"/>
      <c r="N38"/>
      <c r="O38"/>
    </row>
    <row r="39" spans="1:15" x14ac:dyDescent="0.2">
      <c r="A39" s="45">
        <v>1000003242</v>
      </c>
      <c r="B39" s="45" t="s">
        <v>99</v>
      </c>
      <c r="C39" s="46">
        <v>551</v>
      </c>
      <c r="D39" s="46">
        <v>551</v>
      </c>
      <c r="E39"/>
      <c r="F39"/>
      <c r="G39"/>
      <c r="H39"/>
      <c r="I39"/>
      <c r="J39"/>
      <c r="K39"/>
      <c r="L39"/>
      <c r="M39"/>
      <c r="N39"/>
      <c r="O39"/>
    </row>
    <row r="40" spans="1:15" x14ac:dyDescent="0.2">
      <c r="A40" s="45">
        <v>1000003245</v>
      </c>
      <c r="B40" s="45" t="s">
        <v>100</v>
      </c>
      <c r="C40" s="46">
        <v>624</v>
      </c>
      <c r="D40" s="46">
        <v>624</v>
      </c>
      <c r="E40"/>
      <c r="F40"/>
      <c r="G40"/>
      <c r="H40"/>
      <c r="I40"/>
      <c r="J40"/>
      <c r="K40"/>
      <c r="L40"/>
      <c r="M40"/>
      <c r="N40"/>
      <c r="O40"/>
    </row>
    <row r="41" spans="1:15" x14ac:dyDescent="0.2">
      <c r="A41" s="45">
        <v>1000003249</v>
      </c>
      <c r="B41" s="45" t="s">
        <v>119</v>
      </c>
      <c r="C41" s="46">
        <v>1672</v>
      </c>
      <c r="D41" s="46">
        <v>1672</v>
      </c>
      <c r="E41"/>
      <c r="F41"/>
      <c r="G41"/>
      <c r="H41"/>
      <c r="I41"/>
      <c r="J41"/>
      <c r="K41"/>
      <c r="L41"/>
      <c r="M41"/>
      <c r="N41"/>
      <c r="O41"/>
    </row>
    <row r="42" spans="1:15" x14ac:dyDescent="0.2">
      <c r="A42" s="45">
        <v>1000003253</v>
      </c>
      <c r="B42" s="45" t="s">
        <v>59</v>
      </c>
      <c r="C42" s="46">
        <v>687</v>
      </c>
      <c r="D42" s="46">
        <v>687</v>
      </c>
      <c r="E42"/>
      <c r="F42"/>
      <c r="G42"/>
      <c r="H42"/>
      <c r="I42"/>
      <c r="J42"/>
      <c r="K42"/>
      <c r="L42"/>
      <c r="M42"/>
      <c r="N42"/>
      <c r="O42"/>
    </row>
    <row r="43" spans="1:15" x14ac:dyDescent="0.2">
      <c r="A43" s="45">
        <v>1000003255</v>
      </c>
      <c r="B43" s="45" t="s">
        <v>118</v>
      </c>
      <c r="C43" s="46">
        <v>799</v>
      </c>
      <c r="D43" s="46">
        <v>799</v>
      </c>
      <c r="E43"/>
      <c r="F43"/>
      <c r="G43"/>
      <c r="H43"/>
      <c r="I43"/>
      <c r="J43"/>
      <c r="K43"/>
      <c r="L43"/>
      <c r="M43"/>
      <c r="N43"/>
      <c r="O43"/>
    </row>
    <row r="44" spans="1:15" x14ac:dyDescent="0.2">
      <c r="A44" s="45">
        <v>1000003270</v>
      </c>
      <c r="B44" s="45" t="s">
        <v>86</v>
      </c>
      <c r="C44" s="46">
        <v>605</v>
      </c>
      <c r="D44" s="46">
        <v>605</v>
      </c>
      <c r="E44"/>
      <c r="F44"/>
      <c r="G44"/>
      <c r="H44"/>
      <c r="I44"/>
      <c r="J44"/>
      <c r="K44"/>
      <c r="L44"/>
      <c r="M44"/>
      <c r="N44"/>
      <c r="O44"/>
    </row>
    <row r="45" spans="1:15" x14ac:dyDescent="0.2">
      <c r="A45" s="45">
        <v>1000004573</v>
      </c>
      <c r="B45" s="45" t="s">
        <v>133</v>
      </c>
      <c r="C45" s="46">
        <v>3607</v>
      </c>
      <c r="D45" s="46">
        <v>3607</v>
      </c>
      <c r="E45"/>
      <c r="F45"/>
      <c r="G45"/>
      <c r="H45"/>
      <c r="I45"/>
      <c r="J45"/>
      <c r="K45"/>
      <c r="L45"/>
      <c r="M45"/>
      <c r="N45"/>
      <c r="O45"/>
    </row>
    <row r="46" spans="1:15" x14ac:dyDescent="0.2">
      <c r="A46" s="45">
        <v>1000004769</v>
      </c>
      <c r="B46" s="45" t="s">
        <v>85</v>
      </c>
      <c r="C46" s="46">
        <v>1214</v>
      </c>
      <c r="D46" s="46">
        <v>1214</v>
      </c>
      <c r="E46"/>
      <c r="F46"/>
      <c r="G46"/>
      <c r="H46"/>
      <c r="I46"/>
      <c r="J46"/>
      <c r="K46"/>
      <c r="L46"/>
      <c r="M46"/>
      <c r="N46"/>
      <c r="O46"/>
    </row>
    <row r="47" spans="1:15" x14ac:dyDescent="0.2">
      <c r="A47" s="45">
        <v>1000005103</v>
      </c>
      <c r="B47" s="45" t="s">
        <v>112</v>
      </c>
      <c r="C47" s="46">
        <v>1083</v>
      </c>
      <c r="D47" s="46">
        <v>1083</v>
      </c>
      <c r="E47"/>
      <c r="F47"/>
      <c r="G47"/>
      <c r="H47"/>
      <c r="I47"/>
      <c r="J47"/>
      <c r="K47"/>
      <c r="L47"/>
      <c r="M47"/>
      <c r="N47"/>
      <c r="O47"/>
    </row>
    <row r="48" spans="1:15" x14ac:dyDescent="0.2">
      <c r="A48" s="45">
        <v>1000005236</v>
      </c>
      <c r="B48" s="45" t="s">
        <v>138</v>
      </c>
      <c r="C48" s="46">
        <v>3424</v>
      </c>
      <c r="D48" s="46">
        <v>3424</v>
      </c>
      <c r="E48"/>
      <c r="F48"/>
      <c r="G48"/>
      <c r="H48"/>
      <c r="I48"/>
      <c r="J48"/>
      <c r="K48"/>
      <c r="L48"/>
      <c r="M48"/>
      <c r="N48"/>
      <c r="O48"/>
    </row>
    <row r="49" spans="1:15" x14ac:dyDescent="0.2">
      <c r="A49" s="45">
        <v>1000005496</v>
      </c>
      <c r="B49" s="45" t="s">
        <v>135</v>
      </c>
      <c r="C49" s="46">
        <v>3512</v>
      </c>
      <c r="D49" s="46">
        <v>3512</v>
      </c>
      <c r="E49"/>
      <c r="F49"/>
      <c r="G49"/>
      <c r="H49"/>
      <c r="I49"/>
      <c r="J49"/>
      <c r="K49"/>
      <c r="L49"/>
      <c r="M49"/>
      <c r="N49"/>
      <c r="O49"/>
    </row>
    <row r="50" spans="1:15" x14ac:dyDescent="0.2">
      <c r="A50" s="45">
        <v>1000005502</v>
      </c>
      <c r="B50" s="45" t="s">
        <v>71</v>
      </c>
      <c r="C50" s="46">
        <v>1821</v>
      </c>
      <c r="D50" s="46">
        <v>1821</v>
      </c>
      <c r="E50"/>
      <c r="F50"/>
      <c r="G50"/>
      <c r="H50"/>
      <c r="I50"/>
      <c r="J50"/>
      <c r="K50"/>
      <c r="L50"/>
      <c r="M50"/>
      <c r="N50"/>
      <c r="O50"/>
    </row>
    <row r="51" spans="1:15" x14ac:dyDescent="0.2">
      <c r="A51" s="45">
        <v>1000005599</v>
      </c>
      <c r="B51" s="45" t="s">
        <v>69</v>
      </c>
      <c r="C51" s="46">
        <v>46</v>
      </c>
      <c r="D51" s="46">
        <v>46</v>
      </c>
      <c r="E51"/>
      <c r="F51"/>
      <c r="G51"/>
      <c r="H51"/>
      <c r="I51"/>
      <c r="J51"/>
      <c r="K51"/>
      <c r="L51"/>
      <c r="M51"/>
      <c r="N51"/>
      <c r="O51"/>
    </row>
    <row r="52" spans="1:15" x14ac:dyDescent="0.2">
      <c r="A52" s="45">
        <v>1000006261</v>
      </c>
      <c r="B52" s="45" t="s">
        <v>153</v>
      </c>
      <c r="C52" s="46">
        <v>1691</v>
      </c>
      <c r="D52" s="46">
        <v>1691</v>
      </c>
      <c r="E52"/>
      <c r="F52"/>
      <c r="G52"/>
      <c r="H52"/>
      <c r="I52"/>
      <c r="J52"/>
      <c r="K52"/>
      <c r="L52"/>
      <c r="M52"/>
      <c r="N52"/>
      <c r="O52"/>
    </row>
    <row r="53" spans="1:15" x14ac:dyDescent="0.2">
      <c r="A53" s="45">
        <v>1000006278</v>
      </c>
      <c r="B53" s="45" t="s">
        <v>94</v>
      </c>
      <c r="C53" s="46">
        <v>618</v>
      </c>
      <c r="D53" s="46">
        <v>618</v>
      </c>
      <c r="E53"/>
      <c r="F53"/>
      <c r="G53"/>
      <c r="H53"/>
      <c r="I53"/>
      <c r="J53"/>
      <c r="K53"/>
      <c r="L53"/>
      <c r="M53"/>
      <c r="N53"/>
      <c r="O53"/>
    </row>
    <row r="54" spans="1:15" x14ac:dyDescent="0.2">
      <c r="A54" s="45">
        <v>1000006293</v>
      </c>
      <c r="B54" s="45" t="s">
        <v>115</v>
      </c>
      <c r="C54" s="46">
        <v>769</v>
      </c>
      <c r="D54" s="46">
        <v>769</v>
      </c>
      <c r="E54"/>
      <c r="F54"/>
      <c r="G54"/>
      <c r="H54"/>
      <c r="I54"/>
      <c r="J54"/>
      <c r="K54"/>
      <c r="L54"/>
      <c r="M54"/>
      <c r="N54"/>
      <c r="O54"/>
    </row>
    <row r="55" spans="1:15" x14ac:dyDescent="0.2">
      <c r="A55" s="45">
        <v>1000006709</v>
      </c>
      <c r="B55" s="45" t="s">
        <v>132</v>
      </c>
      <c r="C55" s="46">
        <v>1673</v>
      </c>
      <c r="D55" s="46">
        <v>1673</v>
      </c>
      <c r="E55"/>
      <c r="F55"/>
      <c r="G55"/>
      <c r="H55"/>
      <c r="I55"/>
      <c r="J55"/>
      <c r="K55"/>
      <c r="L55"/>
      <c r="M55"/>
      <c r="N55"/>
      <c r="O55"/>
    </row>
    <row r="56" spans="1:15" x14ac:dyDescent="0.2">
      <c r="A56" s="45">
        <v>9000010067</v>
      </c>
      <c r="B56" s="45" t="s">
        <v>81</v>
      </c>
      <c r="C56" s="46">
        <v>1764</v>
      </c>
      <c r="D56" s="46">
        <v>1764</v>
      </c>
      <c r="E56"/>
      <c r="F56"/>
      <c r="G56"/>
      <c r="H56"/>
      <c r="I56"/>
      <c r="J56"/>
      <c r="K56"/>
      <c r="L56"/>
      <c r="M56"/>
      <c r="N56"/>
      <c r="O56"/>
    </row>
    <row r="57" spans="1:15" x14ac:dyDescent="0.2">
      <c r="A57" s="45">
        <v>9000016559</v>
      </c>
      <c r="B57" s="45" t="s">
        <v>80</v>
      </c>
      <c r="C57" s="46">
        <v>3081</v>
      </c>
      <c r="D57" s="46">
        <v>3081</v>
      </c>
      <c r="E57"/>
      <c r="F57"/>
      <c r="G57"/>
      <c r="H57"/>
      <c r="I57"/>
      <c r="J57"/>
      <c r="K57"/>
      <c r="L57"/>
      <c r="M57"/>
      <c r="N57"/>
      <c r="O57"/>
    </row>
    <row r="58" spans="1:15" x14ac:dyDescent="0.2">
      <c r="A58" s="45">
        <v>9000016676</v>
      </c>
      <c r="B58" s="45" t="s">
        <v>147</v>
      </c>
      <c r="C58" s="46">
        <v>219</v>
      </c>
      <c r="D58" s="46">
        <v>219</v>
      </c>
      <c r="E58"/>
      <c r="F58"/>
      <c r="G58"/>
      <c r="H58"/>
      <c r="I58"/>
      <c r="J58"/>
      <c r="K58"/>
      <c r="L58"/>
      <c r="M58"/>
      <c r="N58"/>
      <c r="O58"/>
    </row>
    <row r="59" spans="1:15" x14ac:dyDescent="0.2">
      <c r="A59" s="45">
        <v>9000017450</v>
      </c>
      <c r="B59" s="45" t="s">
        <v>145</v>
      </c>
      <c r="C59" s="46">
        <v>707</v>
      </c>
      <c r="D59" s="46">
        <v>707</v>
      </c>
      <c r="E59"/>
      <c r="F59"/>
      <c r="G59"/>
      <c r="H59"/>
      <c r="I59"/>
      <c r="J59"/>
      <c r="K59"/>
      <c r="L59"/>
      <c r="M59"/>
      <c r="N59"/>
      <c r="O59"/>
    </row>
    <row r="60" spans="1:15" x14ac:dyDescent="0.2">
      <c r="A60" s="45">
        <v>9000017496</v>
      </c>
      <c r="B60" s="45" t="s">
        <v>123</v>
      </c>
      <c r="C60" s="46">
        <v>96</v>
      </c>
      <c r="D60" s="46">
        <v>96</v>
      </c>
      <c r="E60"/>
      <c r="F60"/>
      <c r="G60"/>
      <c r="H60"/>
      <c r="I60"/>
      <c r="J60"/>
      <c r="K60"/>
      <c r="L60"/>
      <c r="M60"/>
      <c r="N60"/>
      <c r="O60"/>
    </row>
    <row r="61" spans="1:15" x14ac:dyDescent="0.2">
      <c r="A61" s="45">
        <v>9000018188</v>
      </c>
      <c r="B61" s="45" t="s">
        <v>140</v>
      </c>
      <c r="C61" s="46">
        <v>182</v>
      </c>
      <c r="D61" s="46">
        <v>182</v>
      </c>
      <c r="E61"/>
      <c r="F61"/>
      <c r="G61"/>
      <c r="H61"/>
      <c r="I61"/>
      <c r="J61"/>
      <c r="K61"/>
      <c r="L61"/>
      <c r="M61"/>
      <c r="N61"/>
      <c r="O61"/>
    </row>
    <row r="62" spans="1:15" x14ac:dyDescent="0.2">
      <c r="A62" s="45">
        <v>9000019333</v>
      </c>
      <c r="B62" s="45" t="s">
        <v>37</v>
      </c>
      <c r="C62" s="46">
        <v>263</v>
      </c>
      <c r="D62" s="46">
        <v>263</v>
      </c>
      <c r="E62"/>
      <c r="F62"/>
      <c r="G62"/>
      <c r="H62"/>
      <c r="I62"/>
      <c r="J62"/>
      <c r="K62"/>
      <c r="L62"/>
      <c r="M62"/>
      <c r="N62"/>
      <c r="O62"/>
    </row>
    <row r="63" spans="1:15" x14ac:dyDescent="0.2">
      <c r="A63" s="45">
        <v>9000020500</v>
      </c>
      <c r="B63" s="45" t="s">
        <v>157</v>
      </c>
      <c r="C63" s="46">
        <v>813</v>
      </c>
      <c r="D63" s="46">
        <v>813</v>
      </c>
      <c r="E63"/>
      <c r="F63"/>
      <c r="G63"/>
      <c r="H63"/>
      <c r="I63"/>
      <c r="J63"/>
      <c r="K63"/>
      <c r="L63"/>
      <c r="M63"/>
      <c r="N63"/>
      <c r="O63"/>
    </row>
    <row r="64" spans="1:15" x14ac:dyDescent="0.2">
      <c r="A64" s="45">
        <v>9000021216</v>
      </c>
      <c r="B64" s="45" t="s">
        <v>92</v>
      </c>
      <c r="C64" s="46">
        <v>71</v>
      </c>
      <c r="D64" s="46">
        <v>71</v>
      </c>
      <c r="E64"/>
      <c r="F64"/>
      <c r="G64"/>
      <c r="H64"/>
      <c r="I64"/>
      <c r="J64"/>
      <c r="K64"/>
      <c r="L64"/>
      <c r="M64"/>
      <c r="N64"/>
      <c r="O64"/>
    </row>
    <row r="65" spans="1:15" x14ac:dyDescent="0.2">
      <c r="A65" s="45">
        <v>9000021028</v>
      </c>
      <c r="B65" s="45" t="s">
        <v>109</v>
      </c>
      <c r="C65" s="46">
        <v>166</v>
      </c>
      <c r="D65" s="46">
        <v>166</v>
      </c>
      <c r="E65"/>
      <c r="F65"/>
      <c r="G65"/>
      <c r="H65"/>
      <c r="I65"/>
      <c r="J65"/>
      <c r="K65"/>
      <c r="L65"/>
      <c r="M65"/>
      <c r="N65"/>
      <c r="O65"/>
    </row>
    <row r="66" spans="1:15" x14ac:dyDescent="0.2">
      <c r="A66" s="45" t="s">
        <v>1</v>
      </c>
      <c r="B66" s="45"/>
      <c r="C66" s="46">
        <v>64416</v>
      </c>
      <c r="D66" s="46">
        <v>64416</v>
      </c>
      <c r="E66"/>
      <c r="F66"/>
      <c r="G66"/>
      <c r="H66"/>
      <c r="I66"/>
      <c r="J66"/>
      <c r="K66"/>
      <c r="L66"/>
      <c r="M66"/>
      <c r="N66"/>
      <c r="O66"/>
    </row>
    <row r="67" spans="1: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1:15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1:15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1:15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1:15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1:15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1:15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1:15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1:15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1:15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1:15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1:15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1:15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1:15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1:15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1:15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1:15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1:15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1:15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1:15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1:15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1:15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1:15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1:15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1:15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1:15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1:15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1:15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1:15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1:15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1:15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1:15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1:15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1:15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1:15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1:15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1:15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1:15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 spans="1:15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1:15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1:15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1:15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1:15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 spans="1:15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1:15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1:15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1:15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1:15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1:15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1:15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1:15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1:15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1:15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1:15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1:15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1:15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1:15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1:15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1:15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1:15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1:15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1:15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1:15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1:15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1:15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1:15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1:15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1:15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1:15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1:15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1:15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1:15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1:15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1:15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1:15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1:15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1:15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1:15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1:15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1:15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1:15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1:15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1:15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1:15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1:15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1:15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 spans="1:15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1:15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1:15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1:15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1:15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1:15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1:15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1:15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1:15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1:15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1:15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1:15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1:15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1:15" x14ac:dyDescent="0.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1:15" x14ac:dyDescent="0.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1:15" x14ac:dyDescent="0.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1:15" x14ac:dyDescent="0.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1:15" x14ac:dyDescent="0.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1:15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1:15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1:15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1:15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1:15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1:15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1:15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1:15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1:15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1:15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1:15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1:15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1:15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1:15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1:15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1:15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1:15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1:15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1:15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1:15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1:15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1:15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1:15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1:15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1:15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1:15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1:15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1:15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1:15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1:15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1:15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1:15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1:15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1:15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1:15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1:15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1:15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1:15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1:15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1:15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1:15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1:15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1:15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1:15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1:15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1:15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1:15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1:15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1:15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1:15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1:15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1:15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1:15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1:15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1:15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1:15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1:15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1:15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1:15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1:15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1:15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1:15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1:15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1:15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1:15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1:15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1:15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1:15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1:15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1:15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1:15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1:15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1:15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1:15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1:15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1:15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 spans="1:15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1:15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1:15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1:15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 spans="1:15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1:15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1:15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1:15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1:15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 spans="1:15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1:15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1:15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 spans="1:15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1:15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1:15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1:15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1:15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 spans="1:15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1:15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1:15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1:15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1:15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1:15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1:15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1:15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1:15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1:15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1:15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1:15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1:15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1:15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spans="1:15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 spans="1:15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 spans="1:15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 spans="1:15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 spans="1:15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 spans="1:15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 spans="1:15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 spans="1:15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1:15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 spans="1:15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 spans="1:15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1:15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 spans="1:15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 spans="1:15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 spans="1:15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 spans="1:15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1:15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 spans="1:15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 spans="1:15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 spans="1:15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 spans="1:15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 spans="1:15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 spans="1:15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 spans="1:15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 spans="1:15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 spans="1:15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 spans="1:15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 spans="1:15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 spans="1:15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 spans="1:15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1:15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1:15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1:15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1:15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1:15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1:15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</row>
    <row r="709" spans="1:15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</row>
    <row r="710" spans="1:15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</row>
    <row r="711" spans="1:15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</row>
    <row r="712" spans="1:15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</row>
    <row r="713" spans="1:15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</row>
    <row r="714" spans="1:15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</row>
    <row r="715" spans="1:15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</row>
    <row r="716" spans="1:15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</row>
    <row r="717" spans="1:15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</row>
    <row r="718" spans="1:15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</row>
    <row r="719" spans="1:15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</row>
    <row r="720" spans="1:15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</row>
    <row r="721" spans="1:15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1:15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</row>
    <row r="723" spans="1:15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</row>
    <row r="724" spans="1:15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1:15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</row>
    <row r="726" spans="1:15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</row>
    <row r="727" spans="1:15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</row>
    <row r="728" spans="1:15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1:15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</row>
    <row r="730" spans="1:15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1:15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 spans="1:15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</row>
    <row r="733" spans="1:15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</row>
    <row r="734" spans="1:15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</row>
    <row r="735" spans="1:15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</row>
    <row r="736" spans="1:15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</row>
    <row r="737" spans="1:15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</row>
    <row r="738" spans="1:15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</row>
    <row r="739" spans="1:15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</row>
    <row r="740" spans="1:15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</row>
    <row r="741" spans="1:15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</row>
    <row r="742" spans="1:15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</row>
    <row r="743" spans="1:15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1:15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1:15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46" spans="1:15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</row>
    <row r="747" spans="1:15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1:15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</row>
    <row r="749" spans="1:15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</row>
    <row r="750" spans="1:15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</row>
    <row r="751" spans="1:15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</row>
    <row r="752" spans="1:15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</row>
    <row r="753" spans="1:15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</row>
    <row r="754" spans="1:15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</row>
    <row r="755" spans="1:15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</row>
    <row r="756" spans="1:15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</row>
    <row r="757" spans="1:15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</row>
    <row r="758" spans="1:15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</row>
    <row r="759" spans="1:15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</row>
    <row r="760" spans="1:15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</row>
    <row r="761" spans="1:15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</row>
    <row r="762" spans="1:15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</row>
    <row r="763" spans="1:15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</row>
    <row r="764" spans="1:15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</row>
    <row r="765" spans="1:15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</row>
    <row r="766" spans="1:15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</row>
    <row r="767" spans="1:15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</row>
    <row r="768" spans="1:15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</row>
    <row r="769" spans="1:15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</row>
    <row r="770" spans="1:15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1:15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</row>
    <row r="772" spans="1:15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</row>
    <row r="773" spans="1:15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</row>
    <row r="774" spans="1:15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</row>
    <row r="775" spans="1:15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</row>
    <row r="776" spans="1:15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</row>
    <row r="777" spans="1:15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</row>
    <row r="778" spans="1:15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</row>
    <row r="779" spans="1:15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</row>
    <row r="780" spans="1:15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</row>
    <row r="781" spans="1:15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</row>
    <row r="782" spans="1:15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</row>
    <row r="783" spans="1:15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</row>
    <row r="784" spans="1:15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</row>
    <row r="785" spans="1:15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1:15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1:15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1:15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1:15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</row>
    <row r="790" spans="1:15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1:15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1:15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1:15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1:15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1:15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1:15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1:15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1:15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1:15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1:15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spans="1:15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</row>
    <row r="802" spans="1:15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</row>
    <row r="803" spans="1:15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</row>
    <row r="804" spans="1:15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</row>
    <row r="805" spans="1:15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</row>
    <row r="806" spans="1:15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</row>
    <row r="807" spans="1:15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</row>
    <row r="808" spans="1:15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</row>
    <row r="809" spans="1:15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</row>
    <row r="810" spans="1:15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</row>
    <row r="811" spans="1:15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</row>
    <row r="812" spans="1:15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</row>
    <row r="813" spans="1:15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</row>
    <row r="814" spans="1:15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</row>
    <row r="815" spans="1:15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</row>
    <row r="816" spans="1:15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</row>
    <row r="817" spans="1:15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</row>
    <row r="818" spans="1:15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</row>
    <row r="819" spans="1:15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</row>
    <row r="820" spans="1:15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</row>
    <row r="821" spans="1:15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</row>
    <row r="822" spans="1:15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</row>
    <row r="823" spans="1:15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</row>
    <row r="824" spans="1:15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1:15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1:15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1:15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</row>
    <row r="828" spans="1:15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1:15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0" spans="1:15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</row>
    <row r="831" spans="1:15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</row>
    <row r="832" spans="1:15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</row>
    <row r="833" spans="1:15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</row>
    <row r="834" spans="1:15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</row>
    <row r="835" spans="1:15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</row>
    <row r="836" spans="1:15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</row>
    <row r="837" spans="1:15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</row>
    <row r="838" spans="1:15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</row>
    <row r="839" spans="1:15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</row>
    <row r="840" spans="1:15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</row>
    <row r="841" spans="1:15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</row>
    <row r="842" spans="1:15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</row>
    <row r="843" spans="1:15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</row>
    <row r="844" spans="1:15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</row>
    <row r="845" spans="1:15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</row>
    <row r="846" spans="1:15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</row>
    <row r="847" spans="1:15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</row>
    <row r="848" spans="1:15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</row>
    <row r="849" spans="1:15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</row>
    <row r="850" spans="1:15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</row>
    <row r="851" spans="1:15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</row>
    <row r="852" spans="1:15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</row>
    <row r="853" spans="1:15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</row>
    <row r="854" spans="1:15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</row>
    <row r="855" spans="1:15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</row>
    <row r="856" spans="1:15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</row>
    <row r="857" spans="1:15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</row>
    <row r="858" spans="1:15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</row>
    <row r="859" spans="1:15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</row>
    <row r="860" spans="1:15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</row>
    <row r="861" spans="1:15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</row>
    <row r="862" spans="1:15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</row>
    <row r="863" spans="1:15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</row>
    <row r="864" spans="1:15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</row>
    <row r="865" spans="1:15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</row>
    <row r="866" spans="1:15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</row>
    <row r="867" spans="1:15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</row>
    <row r="868" spans="1:15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</row>
    <row r="869" spans="1:15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</row>
    <row r="870" spans="1:15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</row>
    <row r="871" spans="1:15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</row>
    <row r="872" spans="1:15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</row>
    <row r="873" spans="1:15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</row>
    <row r="874" spans="1:15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</row>
    <row r="875" spans="1:15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</row>
    <row r="876" spans="1:15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</row>
    <row r="877" spans="1:15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</row>
    <row r="878" spans="1:15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</row>
    <row r="879" spans="1:15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</row>
    <row r="880" spans="1:15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</row>
    <row r="881" spans="1:15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</row>
    <row r="882" spans="1:15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</row>
    <row r="883" spans="1:15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</row>
    <row r="884" spans="1:15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</row>
    <row r="885" spans="1:15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</row>
    <row r="886" spans="1:15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</row>
    <row r="887" spans="1:15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</row>
    <row r="888" spans="1:15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1:15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</row>
    <row r="890" spans="1:15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</row>
    <row r="891" spans="1:15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</row>
    <row r="892" spans="1:15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</row>
    <row r="893" spans="1:15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</row>
    <row r="894" spans="1:15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</row>
    <row r="895" spans="1:15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</row>
    <row r="896" spans="1:15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</row>
    <row r="897" spans="1:15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1:15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1:15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1:15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1:15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1:15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1:15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1:15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1:15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1:15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1:15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1:15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1:15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1:15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1:15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1:15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spans="1:15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</row>
    <row r="914" spans="1:15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</row>
    <row r="915" spans="1:15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</row>
    <row r="916" spans="1:15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</row>
    <row r="917" spans="1:15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</row>
    <row r="918" spans="1:15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</row>
    <row r="919" spans="1:15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</row>
    <row r="920" spans="1:15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</row>
    <row r="921" spans="1:15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</row>
    <row r="922" spans="1:15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</row>
    <row r="923" spans="1:15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</row>
    <row r="924" spans="1:15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</row>
    <row r="925" spans="1:15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</row>
    <row r="926" spans="1:15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</row>
    <row r="927" spans="1:15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</row>
    <row r="928" spans="1:15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</row>
    <row r="929" spans="1:15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</row>
    <row r="930" spans="1:15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</row>
    <row r="931" spans="1:15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</row>
    <row r="932" spans="1:15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</row>
    <row r="933" spans="1:15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</row>
    <row r="934" spans="1:15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</row>
    <row r="935" spans="1:15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</row>
    <row r="936" spans="1:15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</row>
    <row r="937" spans="1:15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</row>
    <row r="938" spans="1:15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</row>
    <row r="939" spans="1:15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</row>
    <row r="940" spans="1:15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</row>
    <row r="941" spans="1:15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</row>
    <row r="942" spans="1:15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</row>
    <row r="943" spans="1:15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</row>
    <row r="944" spans="1:15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</row>
    <row r="945" spans="1:15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</row>
    <row r="946" spans="1:15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</row>
    <row r="947" spans="1:15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</row>
    <row r="948" spans="1:15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</row>
    <row r="949" spans="1:15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</row>
    <row r="950" spans="1:15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</row>
    <row r="951" spans="1:15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</row>
    <row r="952" spans="1:15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</row>
    <row r="953" spans="1:15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</row>
    <row r="954" spans="1:15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</row>
    <row r="955" spans="1:15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</row>
    <row r="956" spans="1:15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</row>
    <row r="957" spans="1:15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</row>
    <row r="958" spans="1:15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</row>
    <row r="959" spans="1:15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</row>
    <row r="960" spans="1:15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</row>
    <row r="961" spans="1:15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</row>
    <row r="962" spans="1:15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</row>
    <row r="963" spans="1:15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</row>
    <row r="964" spans="1:15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</row>
    <row r="965" spans="1:15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</row>
    <row r="966" spans="1:15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</row>
    <row r="967" spans="1:15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</row>
    <row r="968" spans="1:15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</row>
    <row r="969" spans="1:15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</row>
    <row r="970" spans="1:15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</row>
    <row r="971" spans="1:15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</row>
    <row r="972" spans="1:15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</row>
    <row r="973" spans="1:15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</row>
    <row r="974" spans="1:15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</row>
    <row r="975" spans="1:15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</row>
    <row r="976" spans="1:15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</row>
    <row r="977" spans="1:15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</row>
    <row r="978" spans="1:15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</row>
    <row r="979" spans="1:15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</row>
    <row r="980" spans="1:15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</row>
    <row r="981" spans="1:15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</row>
    <row r="982" spans="1:15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</row>
    <row r="983" spans="1:15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</row>
    <row r="984" spans="1:15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</row>
    <row r="985" spans="1:15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</row>
    <row r="986" spans="1:15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</row>
    <row r="987" spans="1:15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</row>
    <row r="988" spans="1:15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</row>
    <row r="989" spans="1:15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</row>
    <row r="990" spans="1:15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</row>
    <row r="991" spans="1:15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</row>
    <row r="992" spans="1:15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</row>
    <row r="993" spans="1:15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</row>
    <row r="994" spans="1:15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</row>
    <row r="995" spans="1:15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</row>
    <row r="996" spans="1:15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</row>
    <row r="997" spans="1:15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</row>
    <row r="998" spans="1:15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</row>
    <row r="999" spans="1:15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</row>
    <row r="1000" spans="1:15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</row>
    <row r="1001" spans="1:15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</row>
    <row r="1002" spans="1:15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</row>
    <row r="1003" spans="1:15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</row>
    <row r="1004" spans="1:15" x14ac:dyDescent="0.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</row>
    <row r="1005" spans="1:15" x14ac:dyDescent="0.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</row>
    <row r="1006" spans="1:15" x14ac:dyDescent="0.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</row>
    <row r="1007" spans="1:15" x14ac:dyDescent="0.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</row>
    <row r="1008" spans="1:15" x14ac:dyDescent="0.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</row>
    <row r="1009" spans="1:15" x14ac:dyDescent="0.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</row>
    <row r="1010" spans="1:15" x14ac:dyDescent="0.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</row>
    <row r="1011" spans="1:15" x14ac:dyDescent="0.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</row>
    <row r="1012" spans="1:15" x14ac:dyDescent="0.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</row>
    <row r="1013" spans="1:15" x14ac:dyDescent="0.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</row>
    <row r="1014" spans="1:15" x14ac:dyDescent="0.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</row>
    <row r="1015" spans="1:15" x14ac:dyDescent="0.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</row>
    <row r="1016" spans="1:15" x14ac:dyDescent="0.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</row>
    <row r="1017" spans="1:15" x14ac:dyDescent="0.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</row>
    <row r="1018" spans="1:15" x14ac:dyDescent="0.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</row>
    <row r="1019" spans="1:15" x14ac:dyDescent="0.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</row>
    <row r="1020" spans="1:15" x14ac:dyDescent="0.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</row>
    <row r="1021" spans="1:15" x14ac:dyDescent="0.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</row>
    <row r="1022" spans="1:15" x14ac:dyDescent="0.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</row>
    <row r="1023" spans="1:15" x14ac:dyDescent="0.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</row>
    <row r="1024" spans="1:15" x14ac:dyDescent="0.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</row>
    <row r="1025" spans="1:15" x14ac:dyDescent="0.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</row>
    <row r="1026" spans="1:15" x14ac:dyDescent="0.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</row>
    <row r="1027" spans="1:15" x14ac:dyDescent="0.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</row>
    <row r="1028" spans="1:15" x14ac:dyDescent="0.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</row>
    <row r="1029" spans="1:15" x14ac:dyDescent="0.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</row>
    <row r="1030" spans="1:15" x14ac:dyDescent="0.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</row>
    <row r="1031" spans="1:15" x14ac:dyDescent="0.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</row>
    <row r="1032" spans="1:15" x14ac:dyDescent="0.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</row>
    <row r="1033" spans="1:15" x14ac:dyDescent="0.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</row>
    <row r="1034" spans="1:15" x14ac:dyDescent="0.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</row>
    <row r="1035" spans="1:15" x14ac:dyDescent="0.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</row>
    <row r="1036" spans="1:15" x14ac:dyDescent="0.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</row>
    <row r="1037" spans="1:15" x14ac:dyDescent="0.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</row>
    <row r="1038" spans="1:15" x14ac:dyDescent="0.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</row>
    <row r="1039" spans="1:15" x14ac:dyDescent="0.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</row>
    <row r="1040" spans="1:15" x14ac:dyDescent="0.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</row>
    <row r="1041" spans="1:15" x14ac:dyDescent="0.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</row>
    <row r="1042" spans="1:15" x14ac:dyDescent="0.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</row>
    <row r="1043" spans="1:15" x14ac:dyDescent="0.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</row>
    <row r="1044" spans="1:15" x14ac:dyDescent="0.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</row>
    <row r="1045" spans="1:15" x14ac:dyDescent="0.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</row>
    <row r="1046" spans="1:15" x14ac:dyDescent="0.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</row>
    <row r="1047" spans="1:15" x14ac:dyDescent="0.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</row>
    <row r="1048" spans="1:15" x14ac:dyDescent="0.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</row>
    <row r="1049" spans="1:15" x14ac:dyDescent="0.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</row>
    <row r="1050" spans="1:15" x14ac:dyDescent="0.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</row>
    <row r="1051" spans="1:15" x14ac:dyDescent="0.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</row>
    <row r="1052" spans="1:15" x14ac:dyDescent="0.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</row>
    <row r="1053" spans="1:15" x14ac:dyDescent="0.2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</row>
    <row r="1054" spans="1:15" x14ac:dyDescent="0.2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</row>
    <row r="1055" spans="1:15" x14ac:dyDescent="0.2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</row>
    <row r="1056" spans="1:15" x14ac:dyDescent="0.2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</row>
    <row r="1057" spans="1:15" x14ac:dyDescent="0.2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</row>
    <row r="1058" spans="1:15" x14ac:dyDescent="0.2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</row>
    <row r="1059" spans="1:15" x14ac:dyDescent="0.2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</row>
    <row r="1060" spans="1:15" x14ac:dyDescent="0.2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</row>
    <row r="1061" spans="1:15" x14ac:dyDescent="0.2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</row>
    <row r="1062" spans="1:15" x14ac:dyDescent="0.2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</row>
    <row r="1063" spans="1:15" x14ac:dyDescent="0.2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</row>
    <row r="1064" spans="1:15" x14ac:dyDescent="0.2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</row>
    <row r="1065" spans="1:15" x14ac:dyDescent="0.2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</row>
    <row r="1066" spans="1:15" x14ac:dyDescent="0.2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</row>
    <row r="1067" spans="1:15" x14ac:dyDescent="0.2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</row>
    <row r="1068" spans="1:15" x14ac:dyDescent="0.2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</row>
    <row r="1069" spans="1:15" x14ac:dyDescent="0.2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</row>
    <row r="1070" spans="1:15" x14ac:dyDescent="0.2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</row>
    <row r="1071" spans="1:15" x14ac:dyDescent="0.2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</row>
    <row r="1072" spans="1:15" x14ac:dyDescent="0.2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</row>
    <row r="1073" spans="1:15" x14ac:dyDescent="0.2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</row>
    <row r="1074" spans="1:15" x14ac:dyDescent="0.2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</row>
    <row r="1075" spans="1:15" x14ac:dyDescent="0.2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</row>
    <row r="1076" spans="1:15" x14ac:dyDescent="0.2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</row>
    <row r="1077" spans="1:15" x14ac:dyDescent="0.2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</row>
    <row r="1078" spans="1:15" x14ac:dyDescent="0.2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</row>
    <row r="1079" spans="1:15" x14ac:dyDescent="0.2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</row>
    <row r="1080" spans="1:15" x14ac:dyDescent="0.2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</row>
    <row r="1081" spans="1:15" x14ac:dyDescent="0.2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</row>
    <row r="1082" spans="1:15" x14ac:dyDescent="0.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</row>
    <row r="1083" spans="1:15" x14ac:dyDescent="0.2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1:15" x14ac:dyDescent="0.2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</row>
    <row r="1085" spans="1:15" x14ac:dyDescent="0.2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</row>
    <row r="1086" spans="1:15" x14ac:dyDescent="0.2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</row>
    <row r="1087" spans="1:15" x14ac:dyDescent="0.2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</row>
    <row r="1088" spans="1:15" x14ac:dyDescent="0.2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</row>
    <row r="1089" spans="1:15" x14ac:dyDescent="0.2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</row>
    <row r="1090" spans="1:15" x14ac:dyDescent="0.2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</row>
    <row r="1091" spans="1:15" x14ac:dyDescent="0.2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</row>
    <row r="1092" spans="1:15" x14ac:dyDescent="0.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</row>
    <row r="1093" spans="1:15" x14ac:dyDescent="0.2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</row>
    <row r="1094" spans="1:15" x14ac:dyDescent="0.2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</row>
    <row r="1095" spans="1:15" x14ac:dyDescent="0.2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</row>
    <row r="1096" spans="1:15" x14ac:dyDescent="0.2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</row>
    <row r="1097" spans="1:15" x14ac:dyDescent="0.2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</row>
    <row r="1098" spans="1:15" x14ac:dyDescent="0.2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</row>
    <row r="1099" spans="1:15" x14ac:dyDescent="0.2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</row>
    <row r="1100" spans="1:15" x14ac:dyDescent="0.2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</row>
    <row r="1101" spans="1:15" x14ac:dyDescent="0.2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</row>
    <row r="1102" spans="1:15" x14ac:dyDescent="0.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</row>
    <row r="1103" spans="1:15" x14ac:dyDescent="0.2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</row>
    <row r="1104" spans="1:15" x14ac:dyDescent="0.2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</row>
    <row r="1105" spans="1:15" x14ac:dyDescent="0.2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</row>
    <row r="1106" spans="1:15" x14ac:dyDescent="0.2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</row>
    <row r="1107" spans="1:15" x14ac:dyDescent="0.2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</row>
    <row r="1108" spans="1:15" x14ac:dyDescent="0.2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</row>
    <row r="1109" spans="1:15" x14ac:dyDescent="0.2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</row>
    <row r="1110" spans="1:15" x14ac:dyDescent="0.2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</row>
    <row r="1111" spans="1:15" x14ac:dyDescent="0.2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</row>
    <row r="1112" spans="1:15" x14ac:dyDescent="0.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</row>
    <row r="1113" spans="1:15" x14ac:dyDescent="0.2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</row>
    <row r="1114" spans="1:15" x14ac:dyDescent="0.2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</row>
    <row r="1115" spans="1:15" x14ac:dyDescent="0.2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</row>
    <row r="1116" spans="1:15" x14ac:dyDescent="0.2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</row>
    <row r="1117" spans="1:15" x14ac:dyDescent="0.2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</row>
    <row r="1118" spans="1:15" x14ac:dyDescent="0.2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</row>
    <row r="1119" spans="1:15" x14ac:dyDescent="0.2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</row>
    <row r="1120" spans="1:15" x14ac:dyDescent="0.2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</row>
    <row r="1121" spans="1:15" x14ac:dyDescent="0.2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</row>
    <row r="1122" spans="1:15" x14ac:dyDescent="0.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</row>
    <row r="1123" spans="1:15" x14ac:dyDescent="0.2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</row>
    <row r="1124" spans="1:15" x14ac:dyDescent="0.2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</row>
    <row r="1125" spans="1:15" x14ac:dyDescent="0.2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</row>
    <row r="1126" spans="1:15" x14ac:dyDescent="0.2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</row>
    <row r="1127" spans="1:15" x14ac:dyDescent="0.2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</row>
    <row r="1128" spans="1:15" x14ac:dyDescent="0.2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</row>
    <row r="1129" spans="1:15" x14ac:dyDescent="0.2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</row>
    <row r="1130" spans="1:15" x14ac:dyDescent="0.2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</row>
    <row r="1131" spans="1:15" x14ac:dyDescent="0.2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</row>
    <row r="1132" spans="1:15" x14ac:dyDescent="0.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</row>
    <row r="1133" spans="1:15" x14ac:dyDescent="0.2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</row>
    <row r="1134" spans="1:15" x14ac:dyDescent="0.2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</row>
    <row r="1135" spans="1:15" x14ac:dyDescent="0.2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</row>
    <row r="1136" spans="1:15" x14ac:dyDescent="0.2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</row>
    <row r="1137" spans="1:15" x14ac:dyDescent="0.2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</row>
    <row r="1138" spans="1:15" x14ac:dyDescent="0.2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</row>
    <row r="1139" spans="1:15" x14ac:dyDescent="0.2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</row>
    <row r="1140" spans="1:15" x14ac:dyDescent="0.2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</row>
    <row r="1141" spans="1:15" x14ac:dyDescent="0.2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</row>
    <row r="1142" spans="1:15" x14ac:dyDescent="0.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</row>
    <row r="1143" spans="1:15" x14ac:dyDescent="0.2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</row>
    <row r="1144" spans="1:15" x14ac:dyDescent="0.2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</row>
    <row r="1145" spans="1:15" x14ac:dyDescent="0.2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</row>
    <row r="1146" spans="1:15" x14ac:dyDescent="0.2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</row>
    <row r="1147" spans="1:15" x14ac:dyDescent="0.2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</row>
    <row r="1148" spans="1:15" x14ac:dyDescent="0.2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</row>
    <row r="1149" spans="1:15" x14ac:dyDescent="0.2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</row>
    <row r="1150" spans="1:15" x14ac:dyDescent="0.2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</row>
    <row r="1151" spans="1:15" x14ac:dyDescent="0.2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</row>
    <row r="1152" spans="1:15" x14ac:dyDescent="0.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</row>
    <row r="1153" spans="1:15" x14ac:dyDescent="0.2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</row>
    <row r="1154" spans="1:15" x14ac:dyDescent="0.2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</row>
    <row r="1155" spans="1:15" x14ac:dyDescent="0.2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</row>
    <row r="1156" spans="1:15" x14ac:dyDescent="0.2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</row>
    <row r="1157" spans="1:15" x14ac:dyDescent="0.2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</row>
    <row r="1158" spans="1:15" x14ac:dyDescent="0.2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</row>
    <row r="1159" spans="1:15" x14ac:dyDescent="0.2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</row>
    <row r="1160" spans="1:15" x14ac:dyDescent="0.2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</row>
    <row r="1161" spans="1:15" x14ac:dyDescent="0.2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</row>
    <row r="1162" spans="1:15" x14ac:dyDescent="0.2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</row>
    <row r="1163" spans="1:15" x14ac:dyDescent="0.2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</row>
    <row r="1164" spans="1:15" x14ac:dyDescent="0.2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</row>
    <row r="1165" spans="1:15" x14ac:dyDescent="0.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</row>
    <row r="1166" spans="1:15" x14ac:dyDescent="0.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</row>
    <row r="1167" spans="1:15" x14ac:dyDescent="0.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</row>
    <row r="1168" spans="1:15" x14ac:dyDescent="0.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</row>
    <row r="1169" spans="1:15" x14ac:dyDescent="0.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</row>
    <row r="1170" spans="1:15" x14ac:dyDescent="0.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</row>
    <row r="1171" spans="1:15" x14ac:dyDescent="0.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</row>
    <row r="1172" spans="1:15" x14ac:dyDescent="0.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</row>
    <row r="1173" spans="1:15" x14ac:dyDescent="0.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</row>
    <row r="1174" spans="1:15" x14ac:dyDescent="0.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</row>
    <row r="1175" spans="1:15" x14ac:dyDescent="0.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</row>
    <row r="1176" spans="1:15" x14ac:dyDescent="0.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</row>
    <row r="1177" spans="1:15" x14ac:dyDescent="0.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</row>
    <row r="1178" spans="1:15" x14ac:dyDescent="0.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</row>
    <row r="1179" spans="1:15" x14ac:dyDescent="0.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</row>
    <row r="1180" spans="1:15" x14ac:dyDescent="0.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</row>
    <row r="1181" spans="1:15" x14ac:dyDescent="0.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</row>
    <row r="1182" spans="1:15" x14ac:dyDescent="0.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</row>
    <row r="1183" spans="1:15" x14ac:dyDescent="0.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</row>
    <row r="1184" spans="1:15" x14ac:dyDescent="0.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</row>
    <row r="1185" spans="1:15" x14ac:dyDescent="0.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</row>
    <row r="1186" spans="1:15" x14ac:dyDescent="0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</row>
    <row r="1187" spans="1:15" x14ac:dyDescent="0.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</row>
    <row r="1188" spans="1:15" x14ac:dyDescent="0.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</row>
    <row r="1189" spans="1:15" x14ac:dyDescent="0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</row>
    <row r="1190" spans="1:15" x14ac:dyDescent="0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</row>
    <row r="1191" spans="1:15" x14ac:dyDescent="0.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</row>
    <row r="1192" spans="1:15" x14ac:dyDescent="0.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</row>
    <row r="1193" spans="1:15" x14ac:dyDescent="0.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</row>
    <row r="1194" spans="1:15" x14ac:dyDescent="0.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</row>
    <row r="1195" spans="1:15" x14ac:dyDescent="0.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</row>
    <row r="1196" spans="1:15" x14ac:dyDescent="0.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</row>
    <row r="1197" spans="1:15" x14ac:dyDescent="0.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</row>
    <row r="1198" spans="1:15" x14ac:dyDescent="0.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</row>
    <row r="1199" spans="1:15" x14ac:dyDescent="0.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</row>
    <row r="1200" spans="1:15" x14ac:dyDescent="0.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</row>
    <row r="1201" spans="1:15" x14ac:dyDescent="0.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</row>
    <row r="1202" spans="1:15" x14ac:dyDescent="0.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</row>
    <row r="1203" spans="1:15" x14ac:dyDescent="0.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</row>
    <row r="1204" spans="1:15" x14ac:dyDescent="0.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</row>
    <row r="1205" spans="1:15" x14ac:dyDescent="0.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</row>
    <row r="1206" spans="1:15" x14ac:dyDescent="0.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</row>
    <row r="1207" spans="1:15" x14ac:dyDescent="0.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</row>
    <row r="1208" spans="1:15" x14ac:dyDescent="0.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</row>
    <row r="1209" spans="1:15" x14ac:dyDescent="0.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</row>
    <row r="1210" spans="1:15" x14ac:dyDescent="0.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</row>
    <row r="1211" spans="1:15" x14ac:dyDescent="0.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</row>
    <row r="1212" spans="1:15" x14ac:dyDescent="0.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</row>
    <row r="1213" spans="1:15" x14ac:dyDescent="0.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</row>
    <row r="1214" spans="1:15" x14ac:dyDescent="0.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</row>
    <row r="1215" spans="1:15" x14ac:dyDescent="0.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</row>
    <row r="1216" spans="1:15" x14ac:dyDescent="0.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</row>
    <row r="1217" spans="1:15" x14ac:dyDescent="0.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</row>
    <row r="1218" spans="1:15" x14ac:dyDescent="0.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</row>
    <row r="1219" spans="1:15" x14ac:dyDescent="0.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</row>
    <row r="1220" spans="1:15" x14ac:dyDescent="0.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</row>
    <row r="1221" spans="1:15" x14ac:dyDescent="0.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</row>
    <row r="1222" spans="1:15" x14ac:dyDescent="0.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</row>
    <row r="1223" spans="1:15" x14ac:dyDescent="0.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</row>
    <row r="1224" spans="1:15" x14ac:dyDescent="0.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</row>
    <row r="1225" spans="1:15" x14ac:dyDescent="0.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</row>
    <row r="1226" spans="1:15" x14ac:dyDescent="0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</row>
    <row r="1227" spans="1:15" x14ac:dyDescent="0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</row>
    <row r="1228" spans="1:15" x14ac:dyDescent="0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</row>
    <row r="1229" spans="1:15" x14ac:dyDescent="0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</row>
    <row r="1230" spans="1:15" x14ac:dyDescent="0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</row>
    <row r="1231" spans="1:15" x14ac:dyDescent="0.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</row>
    <row r="1232" spans="1:15" x14ac:dyDescent="0.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</row>
    <row r="1233" spans="1:15" x14ac:dyDescent="0.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</row>
    <row r="1234" spans="1:15" x14ac:dyDescent="0.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</row>
    <row r="1235" spans="1:15" x14ac:dyDescent="0.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</row>
    <row r="1236" spans="1:15" x14ac:dyDescent="0.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</row>
    <row r="1237" spans="1:15" x14ac:dyDescent="0.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</row>
    <row r="1238" spans="1:15" x14ac:dyDescent="0.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</row>
    <row r="1239" spans="1:15" x14ac:dyDescent="0.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</row>
    <row r="1240" spans="1:15" x14ac:dyDescent="0.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</row>
    <row r="1241" spans="1:15" x14ac:dyDescent="0.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</row>
    <row r="1242" spans="1:15" x14ac:dyDescent="0.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</row>
    <row r="1243" spans="1:15" x14ac:dyDescent="0.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</row>
    <row r="1244" spans="1:15" x14ac:dyDescent="0.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</row>
    <row r="1245" spans="1:15" x14ac:dyDescent="0.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</row>
    <row r="1246" spans="1:15" x14ac:dyDescent="0.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</row>
    <row r="1247" spans="1:15" x14ac:dyDescent="0.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</row>
    <row r="1248" spans="1:15" x14ac:dyDescent="0.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</row>
    <row r="1249" spans="1:15" x14ac:dyDescent="0.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</row>
    <row r="1250" spans="1:15" x14ac:dyDescent="0.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</row>
    <row r="1251" spans="1:15" x14ac:dyDescent="0.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</row>
    <row r="1252" spans="1:15" x14ac:dyDescent="0.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</row>
    <row r="1253" spans="1:15" x14ac:dyDescent="0.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</row>
    <row r="1254" spans="1:15" x14ac:dyDescent="0.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</row>
    <row r="1255" spans="1:15" x14ac:dyDescent="0.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</row>
    <row r="1256" spans="1:15" x14ac:dyDescent="0.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</row>
    <row r="1257" spans="1:15" x14ac:dyDescent="0.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</row>
    <row r="1258" spans="1:15" x14ac:dyDescent="0.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</row>
    <row r="1259" spans="1:15" x14ac:dyDescent="0.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</row>
    <row r="1260" spans="1:15" x14ac:dyDescent="0.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</row>
    <row r="1261" spans="1:15" x14ac:dyDescent="0.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</row>
    <row r="1262" spans="1:15" x14ac:dyDescent="0.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</row>
    <row r="1263" spans="1:15" x14ac:dyDescent="0.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</row>
    <row r="1264" spans="1:15" x14ac:dyDescent="0.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</row>
    <row r="1265" spans="1:15" x14ac:dyDescent="0.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</row>
    <row r="1266" spans="1:15" x14ac:dyDescent="0.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</row>
    <row r="1267" spans="1:15" x14ac:dyDescent="0.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</row>
    <row r="1268" spans="1:15" x14ac:dyDescent="0.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</row>
    <row r="1269" spans="1:15" x14ac:dyDescent="0.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</row>
    <row r="1270" spans="1:15" x14ac:dyDescent="0.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</row>
    <row r="1271" spans="1:15" x14ac:dyDescent="0.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</row>
    <row r="1272" spans="1:15" x14ac:dyDescent="0.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</row>
    <row r="1273" spans="1:15" x14ac:dyDescent="0.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</row>
    <row r="1274" spans="1:15" x14ac:dyDescent="0.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</row>
    <row r="1275" spans="1:15" x14ac:dyDescent="0.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</row>
    <row r="1276" spans="1:15" x14ac:dyDescent="0.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</row>
    <row r="1277" spans="1:15" x14ac:dyDescent="0.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</row>
    <row r="1278" spans="1:15" x14ac:dyDescent="0.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</row>
    <row r="1279" spans="1:15" x14ac:dyDescent="0.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</row>
    <row r="1280" spans="1:15" x14ac:dyDescent="0.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</row>
    <row r="1281" spans="1:15" x14ac:dyDescent="0.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</row>
    <row r="1282" spans="1:15" x14ac:dyDescent="0.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</row>
    <row r="1283" spans="1:15" x14ac:dyDescent="0.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</row>
    <row r="1284" spans="1:15" x14ac:dyDescent="0.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</row>
    <row r="1285" spans="1:15" x14ac:dyDescent="0.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</row>
    <row r="1286" spans="1:15" x14ac:dyDescent="0.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</row>
    <row r="1287" spans="1:15" x14ac:dyDescent="0.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</row>
    <row r="1288" spans="1:15" x14ac:dyDescent="0.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</row>
    <row r="1289" spans="1:15" x14ac:dyDescent="0.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</row>
    <row r="1290" spans="1:15" x14ac:dyDescent="0.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</row>
    <row r="1291" spans="1:15" x14ac:dyDescent="0.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</row>
    <row r="1292" spans="1:15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</row>
    <row r="1293" spans="1:15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</row>
    <row r="1294" spans="1:15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</row>
    <row r="1295" spans="1:15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</row>
    <row r="1296" spans="1:15" x14ac:dyDescent="0.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</row>
    <row r="1297" spans="1:15" x14ac:dyDescent="0.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</row>
    <row r="1298" spans="1:15" x14ac:dyDescent="0.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</row>
    <row r="1299" spans="1:15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</row>
    <row r="1300" spans="1:15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</row>
    <row r="1301" spans="1:15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</row>
    <row r="1302" spans="1:15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</row>
    <row r="1303" spans="1:15" x14ac:dyDescent="0.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</row>
    <row r="1304" spans="1:15" x14ac:dyDescent="0.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</row>
    <row r="1305" spans="1:15" x14ac:dyDescent="0.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</row>
    <row r="1306" spans="1:15" x14ac:dyDescent="0.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</row>
    <row r="1307" spans="1:15" x14ac:dyDescent="0.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</row>
    <row r="1308" spans="1:15" x14ac:dyDescent="0.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</row>
    <row r="1309" spans="1:15" x14ac:dyDescent="0.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</row>
    <row r="1310" spans="1:15" x14ac:dyDescent="0.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</row>
    <row r="1311" spans="1:15" x14ac:dyDescent="0.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</row>
    <row r="1312" spans="1:15" x14ac:dyDescent="0.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</row>
    <row r="1313" spans="1:15" x14ac:dyDescent="0.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</row>
    <row r="1314" spans="1:15" x14ac:dyDescent="0.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</row>
    <row r="1315" spans="1:15" x14ac:dyDescent="0.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</row>
    <row r="1316" spans="1:15" x14ac:dyDescent="0.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</row>
    <row r="1317" spans="1:15" x14ac:dyDescent="0.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</row>
    <row r="1318" spans="1:15" x14ac:dyDescent="0.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</row>
    <row r="1319" spans="1:15" x14ac:dyDescent="0.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</row>
    <row r="1320" spans="1:15" x14ac:dyDescent="0.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</row>
    <row r="1321" spans="1:15" x14ac:dyDescent="0.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</row>
    <row r="1322" spans="1:15" x14ac:dyDescent="0.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</row>
    <row r="1323" spans="1:15" x14ac:dyDescent="0.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</row>
    <row r="1324" spans="1:15" x14ac:dyDescent="0.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</row>
    <row r="1325" spans="1:15" x14ac:dyDescent="0.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</row>
    <row r="1326" spans="1:15" x14ac:dyDescent="0.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</row>
    <row r="1327" spans="1:15" x14ac:dyDescent="0.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</row>
    <row r="1328" spans="1:15" x14ac:dyDescent="0.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</row>
    <row r="1329" spans="1:15" x14ac:dyDescent="0.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</row>
    <row r="1330" spans="1:15" x14ac:dyDescent="0.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</row>
    <row r="1331" spans="1:15" x14ac:dyDescent="0.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</row>
    <row r="1332" spans="1:15" x14ac:dyDescent="0.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</row>
    <row r="1333" spans="1:15" x14ac:dyDescent="0.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</row>
    <row r="1334" spans="1:15" x14ac:dyDescent="0.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</row>
    <row r="1335" spans="1:15" x14ac:dyDescent="0.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</row>
    <row r="1336" spans="1:15" x14ac:dyDescent="0.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</row>
    <row r="1337" spans="1:15" x14ac:dyDescent="0.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</row>
    <row r="1338" spans="1:15" x14ac:dyDescent="0.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</row>
    <row r="1339" spans="1:15" x14ac:dyDescent="0.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</row>
    <row r="1340" spans="1:15" x14ac:dyDescent="0.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</row>
    <row r="1341" spans="1:15" x14ac:dyDescent="0.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</row>
    <row r="1342" spans="1:15" x14ac:dyDescent="0.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</row>
    <row r="1343" spans="1:15" x14ac:dyDescent="0.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</row>
    <row r="1344" spans="1:15" x14ac:dyDescent="0.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</row>
    <row r="1345" spans="1:15" x14ac:dyDescent="0.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</row>
    <row r="1346" spans="1:15" x14ac:dyDescent="0.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</row>
    <row r="1347" spans="1:15" x14ac:dyDescent="0.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</row>
    <row r="1348" spans="1:15" x14ac:dyDescent="0.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</row>
    <row r="1349" spans="1:15" x14ac:dyDescent="0.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</row>
    <row r="1350" spans="1:15" x14ac:dyDescent="0.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</row>
    <row r="1351" spans="1:15" x14ac:dyDescent="0.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</row>
    <row r="1352" spans="1:15" x14ac:dyDescent="0.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</row>
    <row r="1353" spans="1:15" x14ac:dyDescent="0.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</row>
    <row r="1354" spans="1:15" x14ac:dyDescent="0.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</row>
    <row r="1355" spans="1:15" x14ac:dyDescent="0.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</row>
    <row r="1356" spans="1:15" x14ac:dyDescent="0.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</row>
    <row r="1357" spans="1:15" x14ac:dyDescent="0.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</row>
    <row r="1358" spans="1:15" x14ac:dyDescent="0.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</row>
    <row r="1359" spans="1:15" x14ac:dyDescent="0.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</row>
    <row r="1360" spans="1:15" x14ac:dyDescent="0.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</row>
    <row r="1361" spans="1:15" x14ac:dyDescent="0.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</row>
    <row r="1362" spans="1:15" x14ac:dyDescent="0.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</row>
    <row r="1363" spans="1:15" x14ac:dyDescent="0.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</row>
    <row r="1364" spans="1:15" x14ac:dyDescent="0.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</row>
    <row r="1365" spans="1:15" x14ac:dyDescent="0.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</row>
    <row r="1366" spans="1:15" x14ac:dyDescent="0.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</row>
    <row r="1367" spans="1:15" x14ac:dyDescent="0.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</row>
    <row r="1368" spans="1:15" x14ac:dyDescent="0.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</row>
    <row r="1369" spans="1:15" x14ac:dyDescent="0.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</row>
    <row r="1370" spans="1:15" x14ac:dyDescent="0.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</row>
    <row r="1371" spans="1:15" x14ac:dyDescent="0.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</row>
    <row r="1372" spans="1:15" x14ac:dyDescent="0.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</row>
    <row r="1373" spans="1:15" x14ac:dyDescent="0.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</row>
    <row r="1374" spans="1:15" x14ac:dyDescent="0.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</row>
    <row r="1375" spans="1:15" x14ac:dyDescent="0.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</row>
    <row r="1376" spans="1:15" x14ac:dyDescent="0.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</row>
    <row r="1377" spans="1:15" x14ac:dyDescent="0.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</row>
    <row r="1378" spans="1:15" x14ac:dyDescent="0.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</row>
    <row r="1379" spans="1:15" x14ac:dyDescent="0.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</row>
    <row r="1380" spans="1:15" x14ac:dyDescent="0.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</row>
    <row r="1381" spans="1:15" x14ac:dyDescent="0.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</row>
    <row r="1382" spans="1:15" x14ac:dyDescent="0.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</row>
    <row r="1383" spans="1:15" x14ac:dyDescent="0.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</row>
    <row r="1384" spans="1:15" x14ac:dyDescent="0.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</row>
    <row r="1385" spans="1:15" x14ac:dyDescent="0.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</row>
    <row r="1386" spans="1:15" x14ac:dyDescent="0.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</row>
    <row r="1387" spans="1:15" x14ac:dyDescent="0.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</row>
    <row r="1388" spans="1:15" x14ac:dyDescent="0.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</row>
    <row r="1389" spans="1:15" x14ac:dyDescent="0.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</row>
    <row r="1390" spans="1:15" x14ac:dyDescent="0.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</row>
    <row r="1391" spans="1:15" x14ac:dyDescent="0.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</row>
    <row r="1392" spans="1:15" x14ac:dyDescent="0.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</row>
    <row r="1393" spans="1:15" x14ac:dyDescent="0.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</row>
    <row r="1394" spans="1:15" x14ac:dyDescent="0.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</row>
    <row r="1395" spans="1:15" x14ac:dyDescent="0.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</row>
    <row r="1396" spans="1:15" x14ac:dyDescent="0.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</row>
    <row r="1397" spans="1:15" x14ac:dyDescent="0.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</row>
    <row r="1398" spans="1:15" x14ac:dyDescent="0.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</row>
    <row r="1399" spans="1:15" x14ac:dyDescent="0.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</row>
    <row r="1400" spans="1:15" x14ac:dyDescent="0.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</row>
    <row r="1401" spans="1:15" x14ac:dyDescent="0.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</row>
    <row r="1402" spans="1:15" x14ac:dyDescent="0.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</row>
    <row r="1403" spans="1:15" x14ac:dyDescent="0.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</row>
    <row r="1404" spans="1:15" x14ac:dyDescent="0.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</row>
    <row r="1405" spans="1:15" x14ac:dyDescent="0.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</row>
    <row r="1406" spans="1:15" x14ac:dyDescent="0.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</row>
    <row r="1407" spans="1:15" x14ac:dyDescent="0.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</row>
    <row r="1408" spans="1:15" x14ac:dyDescent="0.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</row>
    <row r="1409" spans="1:15" x14ac:dyDescent="0.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</row>
    <row r="1410" spans="1:15" x14ac:dyDescent="0.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</row>
    <row r="1411" spans="1:15" x14ac:dyDescent="0.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</row>
    <row r="1412" spans="1:15" x14ac:dyDescent="0.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</row>
    <row r="1413" spans="1:15" x14ac:dyDescent="0.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</row>
    <row r="1414" spans="1:15" x14ac:dyDescent="0.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</row>
    <row r="1415" spans="1:15" x14ac:dyDescent="0.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</row>
    <row r="1416" spans="1:15" x14ac:dyDescent="0.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</row>
    <row r="1417" spans="1:15" x14ac:dyDescent="0.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</row>
    <row r="1418" spans="1:15" x14ac:dyDescent="0.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</row>
    <row r="1419" spans="1:15" x14ac:dyDescent="0.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</row>
    <row r="1420" spans="1:15" x14ac:dyDescent="0.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</row>
    <row r="1421" spans="1:15" x14ac:dyDescent="0.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</row>
    <row r="1422" spans="1:15" x14ac:dyDescent="0.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</row>
    <row r="1423" spans="1:15" x14ac:dyDescent="0.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</row>
    <row r="1424" spans="1:15" x14ac:dyDescent="0.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</row>
    <row r="1425" spans="1:15" x14ac:dyDescent="0.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</row>
    <row r="1426" spans="1:15" x14ac:dyDescent="0.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</row>
    <row r="1427" spans="1:15" x14ac:dyDescent="0.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</row>
    <row r="1428" spans="1:15" x14ac:dyDescent="0.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</row>
    <row r="1429" spans="1:15" x14ac:dyDescent="0.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</row>
    <row r="1430" spans="1:15" x14ac:dyDescent="0.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</row>
    <row r="1431" spans="1:15" x14ac:dyDescent="0.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</row>
    <row r="1432" spans="1:15" x14ac:dyDescent="0.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</row>
    <row r="1433" spans="1:15" x14ac:dyDescent="0.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</row>
    <row r="1434" spans="1:15" x14ac:dyDescent="0.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</row>
    <row r="1435" spans="1:15" x14ac:dyDescent="0.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</row>
    <row r="1436" spans="1:15" x14ac:dyDescent="0.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</row>
    <row r="1437" spans="1:15" x14ac:dyDescent="0.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</row>
    <row r="1438" spans="1:15" x14ac:dyDescent="0.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</row>
    <row r="1439" spans="1:15" x14ac:dyDescent="0.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</row>
    <row r="1440" spans="1:15" x14ac:dyDescent="0.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</row>
    <row r="1441" spans="1:15" x14ac:dyDescent="0.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</row>
    <row r="1442" spans="1:15" x14ac:dyDescent="0.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</row>
    <row r="1443" spans="1:15" x14ac:dyDescent="0.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</row>
    <row r="1444" spans="1:15" x14ac:dyDescent="0.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</row>
    <row r="1445" spans="1:15" x14ac:dyDescent="0.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</row>
    <row r="1446" spans="1:15" x14ac:dyDescent="0.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</row>
    <row r="1447" spans="1:15" x14ac:dyDescent="0.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</row>
    <row r="1448" spans="1:15" x14ac:dyDescent="0.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</row>
    <row r="1449" spans="1:15" x14ac:dyDescent="0.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</row>
    <row r="1450" spans="1:15" x14ac:dyDescent="0.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</row>
    <row r="1451" spans="1:15" x14ac:dyDescent="0.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</row>
    <row r="1452" spans="1:15" x14ac:dyDescent="0.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</row>
    <row r="1453" spans="1:15" x14ac:dyDescent="0.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</row>
    <row r="1454" spans="1:15" x14ac:dyDescent="0.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</row>
    <row r="1455" spans="1:15" x14ac:dyDescent="0.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</row>
    <row r="1456" spans="1:15" x14ac:dyDescent="0.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</row>
    <row r="1457" spans="1:15" x14ac:dyDescent="0.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</row>
    <row r="1458" spans="1:15" x14ac:dyDescent="0.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</row>
    <row r="1459" spans="1:15" x14ac:dyDescent="0.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</row>
    <row r="1460" spans="1:15" x14ac:dyDescent="0.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</row>
    <row r="1461" spans="1:15" x14ac:dyDescent="0.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</row>
    <row r="1462" spans="1:15" x14ac:dyDescent="0.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</row>
    <row r="1463" spans="1:15" x14ac:dyDescent="0.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</row>
    <row r="1464" spans="1:15" x14ac:dyDescent="0.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</row>
    <row r="1465" spans="1:15" x14ac:dyDescent="0.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</row>
    <row r="1466" spans="1:15" x14ac:dyDescent="0.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</row>
    <row r="1467" spans="1:15" x14ac:dyDescent="0.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</row>
    <row r="1468" spans="1:15" x14ac:dyDescent="0.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</row>
    <row r="1469" spans="1:15" x14ac:dyDescent="0.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</row>
    <row r="1470" spans="1:15" x14ac:dyDescent="0.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</row>
    <row r="1471" spans="1:15" x14ac:dyDescent="0.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</row>
    <row r="1472" spans="1:15" x14ac:dyDescent="0.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</row>
    <row r="1473" spans="1:15" x14ac:dyDescent="0.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</row>
    <row r="1474" spans="1:15" x14ac:dyDescent="0.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</row>
    <row r="1475" spans="1:15" x14ac:dyDescent="0.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</row>
    <row r="1476" spans="1:15" x14ac:dyDescent="0.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</row>
    <row r="1477" spans="1:15" x14ac:dyDescent="0.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</row>
    <row r="1478" spans="1:15" x14ac:dyDescent="0.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</row>
    <row r="1479" spans="1:15" x14ac:dyDescent="0.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</row>
    <row r="1480" spans="1:15" x14ac:dyDescent="0.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</row>
    <row r="1481" spans="1:15" x14ac:dyDescent="0.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</row>
    <row r="1482" spans="1:15" x14ac:dyDescent="0.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</row>
    <row r="1483" spans="1:15" x14ac:dyDescent="0.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</row>
    <row r="1484" spans="1:15" x14ac:dyDescent="0.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</row>
    <row r="1485" spans="1:15" x14ac:dyDescent="0.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</row>
    <row r="1486" spans="1:15" x14ac:dyDescent="0.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</row>
    <row r="1487" spans="1:15" x14ac:dyDescent="0.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</row>
    <row r="1488" spans="1:15" x14ac:dyDescent="0.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</row>
    <row r="1489" spans="1:15" x14ac:dyDescent="0.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</row>
    <row r="1490" spans="1:15" x14ac:dyDescent="0.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</row>
    <row r="1491" spans="1:15" x14ac:dyDescent="0.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</row>
    <row r="1492" spans="1:15" x14ac:dyDescent="0.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</row>
    <row r="1493" spans="1:15" x14ac:dyDescent="0.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</row>
    <row r="1494" spans="1:15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</row>
    <row r="1495" spans="1:15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</row>
    <row r="1496" spans="1:15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</row>
    <row r="1497" spans="1:15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</row>
    <row r="1498" spans="1:15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</row>
    <row r="1499" spans="1:15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</row>
    <row r="1500" spans="1:15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</row>
    <row r="1501" spans="1:15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</row>
    <row r="1502" spans="1:15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</row>
    <row r="1503" spans="1:15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</row>
    <row r="1504" spans="1:15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</row>
    <row r="1505" spans="1:15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</row>
    <row r="1506" spans="1:15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</row>
    <row r="1507" spans="1:15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</row>
    <row r="1508" spans="1:15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</row>
    <row r="1509" spans="1:15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</row>
    <row r="1510" spans="1:15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</row>
    <row r="1511" spans="1:15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</row>
    <row r="1512" spans="1:15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</row>
    <row r="1513" spans="1:15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</row>
    <row r="1514" spans="1:15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</row>
    <row r="1515" spans="1:15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</row>
    <row r="1516" spans="1:15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</row>
    <row r="1517" spans="1:15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</row>
    <row r="1518" spans="1:15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</row>
    <row r="1519" spans="1:15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</row>
    <row r="1520" spans="1:15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</row>
    <row r="1521" spans="1:15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</row>
    <row r="1522" spans="1:15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</row>
    <row r="1523" spans="1:15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</row>
    <row r="1524" spans="1:15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</row>
    <row r="1525" spans="1:15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</row>
    <row r="1526" spans="1:15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</row>
    <row r="1527" spans="1:15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</row>
    <row r="1528" spans="1:15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</row>
    <row r="1529" spans="1:15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</row>
    <row r="1530" spans="1:15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</row>
    <row r="1531" spans="1:15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</row>
    <row r="1532" spans="1:15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</row>
    <row r="1533" spans="1:15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</row>
    <row r="1534" spans="1:15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</row>
    <row r="1535" spans="1:15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</row>
    <row r="1536" spans="1:15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</row>
    <row r="1537" spans="1:15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</row>
    <row r="1538" spans="1:15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</row>
    <row r="1539" spans="1:15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</row>
    <row r="1540" spans="1:15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</row>
    <row r="1541" spans="1:15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</row>
    <row r="1542" spans="1:15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</row>
    <row r="1543" spans="1:15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</row>
    <row r="1544" spans="1:15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</row>
    <row r="1545" spans="1:15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</row>
    <row r="1546" spans="1:15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</row>
    <row r="1547" spans="1:15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</row>
    <row r="1548" spans="1:15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</row>
    <row r="1549" spans="1:15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</row>
    <row r="1550" spans="1:15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</row>
    <row r="1551" spans="1:15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</row>
    <row r="1552" spans="1:15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</row>
    <row r="1553" spans="1:15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</row>
    <row r="1554" spans="1:15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</row>
    <row r="1555" spans="1:15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</row>
    <row r="1556" spans="1:15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</row>
    <row r="1557" spans="1:15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</row>
    <row r="1558" spans="1:15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</row>
    <row r="1559" spans="1:15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</row>
    <row r="1560" spans="1:15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</row>
    <row r="1561" spans="1:15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</row>
    <row r="1562" spans="1:15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</row>
    <row r="1563" spans="1:15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</row>
    <row r="1564" spans="1:15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</row>
    <row r="1565" spans="1:15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</row>
    <row r="1566" spans="1:15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</row>
    <row r="1567" spans="1:15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</row>
    <row r="1568" spans="1:15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</row>
    <row r="1569" spans="1:15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</row>
    <row r="1570" spans="1:15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</row>
    <row r="1571" spans="1:15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</row>
    <row r="1572" spans="1:15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</row>
    <row r="1573" spans="1:15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</row>
    <row r="1574" spans="1:15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</row>
    <row r="1575" spans="1:15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</row>
    <row r="1576" spans="1:15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</row>
    <row r="1577" spans="1:15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</row>
    <row r="1578" spans="1:15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</row>
    <row r="1579" spans="1:15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</row>
    <row r="1580" spans="1:15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</row>
    <row r="1581" spans="1:15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</row>
    <row r="1582" spans="1:15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</row>
    <row r="1583" spans="1:15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</row>
    <row r="1584" spans="1:15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</row>
    <row r="1585" spans="1:15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</row>
    <row r="1586" spans="1:15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</row>
    <row r="1587" spans="1:15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</row>
    <row r="1588" spans="1:15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</row>
    <row r="1589" spans="1:15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</row>
    <row r="1590" spans="1:15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</row>
    <row r="1591" spans="1:15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</row>
    <row r="1592" spans="1:15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</row>
    <row r="1593" spans="1:15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</row>
    <row r="1594" spans="1:15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</row>
    <row r="1595" spans="1:15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</row>
    <row r="1596" spans="1:15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</row>
    <row r="1597" spans="1:15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</row>
    <row r="1598" spans="1:15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</row>
    <row r="1599" spans="1:15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</row>
    <row r="1600" spans="1:15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</row>
    <row r="1601" spans="1:15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</row>
    <row r="1602" spans="1:15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</row>
    <row r="1603" spans="1:15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</row>
    <row r="1604" spans="1:15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</row>
    <row r="1605" spans="1:15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</row>
    <row r="1606" spans="1:15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</row>
    <row r="1607" spans="1:15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</row>
    <row r="1608" spans="1:15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</row>
    <row r="1609" spans="1:15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</row>
    <row r="1610" spans="1:15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</row>
    <row r="1611" spans="1:15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</row>
    <row r="1612" spans="1:15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</row>
    <row r="1613" spans="1:15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</row>
    <row r="1614" spans="1:15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</row>
    <row r="1615" spans="1:15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</row>
    <row r="1616" spans="1:15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</row>
    <row r="1617" spans="1:15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</row>
    <row r="1618" spans="1:15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</row>
    <row r="1619" spans="1:15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</row>
    <row r="1620" spans="1:15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</row>
    <row r="1621" spans="1:15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</row>
    <row r="1622" spans="1:15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</row>
    <row r="1623" spans="1:15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</row>
    <row r="1624" spans="1:15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</row>
    <row r="1625" spans="1:15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</row>
    <row r="1626" spans="1:15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</row>
    <row r="1627" spans="1:15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</row>
    <row r="1628" spans="1:15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</row>
    <row r="1629" spans="1:15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</row>
    <row r="1630" spans="1:15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</row>
    <row r="1631" spans="1:15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</row>
    <row r="1632" spans="1:15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</row>
    <row r="1633" spans="1:15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</row>
    <row r="1634" spans="1:15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</row>
    <row r="1635" spans="1:15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</row>
    <row r="1636" spans="1:15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</row>
    <row r="1637" spans="1:15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</row>
    <row r="1638" spans="1:15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</row>
    <row r="1639" spans="1:15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</row>
    <row r="1640" spans="1:15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</row>
    <row r="1641" spans="1:15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</row>
    <row r="1642" spans="1:15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</row>
    <row r="1643" spans="1:15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</row>
    <row r="1644" spans="1:15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</row>
    <row r="1645" spans="1:15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</row>
    <row r="1646" spans="1:15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</row>
    <row r="1647" spans="1:15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</row>
    <row r="1648" spans="1:15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</row>
    <row r="1649" spans="1:15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</row>
    <row r="1650" spans="1:15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</row>
    <row r="1651" spans="1:15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</row>
    <row r="1652" spans="1:15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</row>
    <row r="1653" spans="1:15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</row>
    <row r="1654" spans="1:15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</row>
    <row r="1655" spans="1:15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</row>
    <row r="1656" spans="1:15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</row>
    <row r="1657" spans="1:15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</row>
    <row r="1658" spans="1:15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</row>
    <row r="1659" spans="1:15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</row>
    <row r="1660" spans="1:15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</row>
    <row r="1661" spans="1:15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</row>
    <row r="1662" spans="1:15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</row>
    <row r="1663" spans="1:15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</row>
    <row r="1664" spans="1:15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</row>
    <row r="1665" spans="1:15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</row>
    <row r="1666" spans="1:15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</row>
    <row r="1667" spans="1:15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</row>
    <row r="1668" spans="1:15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</row>
    <row r="1669" spans="1:15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</row>
    <row r="1670" spans="1:15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</row>
    <row r="1671" spans="1:15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</row>
    <row r="1672" spans="1:15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</row>
    <row r="1673" spans="1:15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</row>
    <row r="1674" spans="1:15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</row>
    <row r="1675" spans="1:15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</row>
    <row r="1676" spans="1:15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</row>
    <row r="1677" spans="1:15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</row>
    <row r="1678" spans="1:15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</row>
    <row r="1679" spans="1:15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</row>
    <row r="1680" spans="1:15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</row>
    <row r="1681" spans="1:15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</row>
    <row r="1682" spans="1:15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</row>
    <row r="1683" spans="1:15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</row>
    <row r="1684" spans="1:15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</row>
    <row r="1685" spans="1:15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</row>
    <row r="1686" spans="1:15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</row>
    <row r="1687" spans="1:15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</row>
    <row r="1688" spans="1:15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</row>
    <row r="1689" spans="1:15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</row>
    <row r="1690" spans="1:15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</row>
    <row r="1691" spans="1:15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</row>
    <row r="1692" spans="1:15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</row>
    <row r="1693" spans="1:15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</row>
    <row r="1694" spans="1:15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</row>
    <row r="1695" spans="1:15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</row>
    <row r="1696" spans="1:15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</row>
    <row r="1697" spans="1:15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</row>
    <row r="1698" spans="1:15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</row>
    <row r="1699" spans="1:15" x14ac:dyDescent="0.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</row>
    <row r="1700" spans="1:15" x14ac:dyDescent="0.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</row>
    <row r="1701" spans="1:15" x14ac:dyDescent="0.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</row>
    <row r="1702" spans="1:15" x14ac:dyDescent="0.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</row>
    <row r="1703" spans="1:15" x14ac:dyDescent="0.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</row>
    <row r="1704" spans="1:15" x14ac:dyDescent="0.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</row>
    <row r="1705" spans="1:15" x14ac:dyDescent="0.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</row>
    <row r="1706" spans="1:15" x14ac:dyDescent="0.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</row>
    <row r="1707" spans="1:15" x14ac:dyDescent="0.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</row>
    <row r="1708" spans="1:15" x14ac:dyDescent="0.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</row>
    <row r="1709" spans="1:15" x14ac:dyDescent="0.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</row>
    <row r="1710" spans="1:15" x14ac:dyDescent="0.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</row>
    <row r="1711" spans="1:15" x14ac:dyDescent="0.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</row>
    <row r="1712" spans="1:15" x14ac:dyDescent="0.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</row>
    <row r="1713" spans="1:15" x14ac:dyDescent="0.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</row>
    <row r="1714" spans="1:15" x14ac:dyDescent="0.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</row>
    <row r="1715" spans="1:15" x14ac:dyDescent="0.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</row>
    <row r="1716" spans="1:15" x14ac:dyDescent="0.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</row>
    <row r="1717" spans="1:15" x14ac:dyDescent="0.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</row>
    <row r="1718" spans="1:15" x14ac:dyDescent="0.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</row>
    <row r="1719" spans="1:15" x14ac:dyDescent="0.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</row>
    <row r="1720" spans="1:15" x14ac:dyDescent="0.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</row>
    <row r="1721" spans="1:15" x14ac:dyDescent="0.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</row>
    <row r="1722" spans="1:15" x14ac:dyDescent="0.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</row>
    <row r="1723" spans="1:15" x14ac:dyDescent="0.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</row>
    <row r="1724" spans="1:15" x14ac:dyDescent="0.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</row>
    <row r="1725" spans="1:15" x14ac:dyDescent="0.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</row>
    <row r="1726" spans="1:15" x14ac:dyDescent="0.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</row>
    <row r="1727" spans="1:15" x14ac:dyDescent="0.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</row>
    <row r="1728" spans="1:15" x14ac:dyDescent="0.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</row>
    <row r="1729" spans="1:15" x14ac:dyDescent="0.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</row>
    <row r="1730" spans="1:15" x14ac:dyDescent="0.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</row>
    <row r="1731" spans="1:15" x14ac:dyDescent="0.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</row>
    <row r="1732" spans="1:15" x14ac:dyDescent="0.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</row>
    <row r="1733" spans="1:15" x14ac:dyDescent="0.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</row>
    <row r="1734" spans="1:15" x14ac:dyDescent="0.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</row>
    <row r="1735" spans="1:15" x14ac:dyDescent="0.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</row>
    <row r="1736" spans="1:15" x14ac:dyDescent="0.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</row>
    <row r="1737" spans="1:15" x14ac:dyDescent="0.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</row>
    <row r="1738" spans="1:15" x14ac:dyDescent="0.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</row>
    <row r="1739" spans="1:15" x14ac:dyDescent="0.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</row>
    <row r="1740" spans="1:15" x14ac:dyDescent="0.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</row>
    <row r="1741" spans="1:15" x14ac:dyDescent="0.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</row>
    <row r="1742" spans="1:15" x14ac:dyDescent="0.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</row>
    <row r="1743" spans="1:15" x14ac:dyDescent="0.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</row>
    <row r="1744" spans="1:15" x14ac:dyDescent="0.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</row>
    <row r="1745" spans="1:15" x14ac:dyDescent="0.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</row>
    <row r="1746" spans="1:15" x14ac:dyDescent="0.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</row>
    <row r="1747" spans="1:15" x14ac:dyDescent="0.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</row>
    <row r="1748" spans="1:15" x14ac:dyDescent="0.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</row>
    <row r="1749" spans="1:15" x14ac:dyDescent="0.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</row>
    <row r="1750" spans="1:15" x14ac:dyDescent="0.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</row>
    <row r="1751" spans="1:15" x14ac:dyDescent="0.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</row>
    <row r="1752" spans="1:15" x14ac:dyDescent="0.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</row>
    <row r="1753" spans="1:15" x14ac:dyDescent="0.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</row>
    <row r="1754" spans="1:15" x14ac:dyDescent="0.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</row>
    <row r="1755" spans="1:15" x14ac:dyDescent="0.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</row>
    <row r="1756" spans="1:15" x14ac:dyDescent="0.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</row>
    <row r="1757" spans="1:15" x14ac:dyDescent="0.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</row>
    <row r="1758" spans="1:15" x14ac:dyDescent="0.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</row>
    <row r="1759" spans="1:15" x14ac:dyDescent="0.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</row>
    <row r="1760" spans="1:15" x14ac:dyDescent="0.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</row>
    <row r="1761" spans="1:15" x14ac:dyDescent="0.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</row>
    <row r="1762" spans="1:15" x14ac:dyDescent="0.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</row>
    <row r="1763" spans="1:15" x14ac:dyDescent="0.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</row>
    <row r="1764" spans="1:15" x14ac:dyDescent="0.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</row>
    <row r="1765" spans="1:15" x14ac:dyDescent="0.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</row>
    <row r="1766" spans="1:15" x14ac:dyDescent="0.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</row>
    <row r="1767" spans="1:15" x14ac:dyDescent="0.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</row>
    <row r="1768" spans="1:15" x14ac:dyDescent="0.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</row>
    <row r="1769" spans="1:15" x14ac:dyDescent="0.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</row>
    <row r="1770" spans="1:15" x14ac:dyDescent="0.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</row>
    <row r="1771" spans="1:15" x14ac:dyDescent="0.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</row>
    <row r="1772" spans="1:15" x14ac:dyDescent="0.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</row>
    <row r="1773" spans="1:15" x14ac:dyDescent="0.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</row>
    <row r="1774" spans="1:15" x14ac:dyDescent="0.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</row>
    <row r="1775" spans="1:15" x14ac:dyDescent="0.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</row>
    <row r="1776" spans="1:15" x14ac:dyDescent="0.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</row>
    <row r="1777" spans="1:15" x14ac:dyDescent="0.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</row>
    <row r="1778" spans="1:15" x14ac:dyDescent="0.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</row>
    <row r="1779" spans="1:15" x14ac:dyDescent="0.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</row>
    <row r="1780" spans="1:15" x14ac:dyDescent="0.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</row>
    <row r="1781" spans="1:15" x14ac:dyDescent="0.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</row>
    <row r="1782" spans="1:15" x14ac:dyDescent="0.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</row>
    <row r="1783" spans="1:15" x14ac:dyDescent="0.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</row>
    <row r="1784" spans="1:15" x14ac:dyDescent="0.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</row>
    <row r="1785" spans="1:15" x14ac:dyDescent="0.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</row>
    <row r="1786" spans="1:15" x14ac:dyDescent="0.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</row>
    <row r="1787" spans="1:15" x14ac:dyDescent="0.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</row>
    <row r="1788" spans="1:15" x14ac:dyDescent="0.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</row>
    <row r="1789" spans="1:15" x14ac:dyDescent="0.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</row>
    <row r="1790" spans="1:15" x14ac:dyDescent="0.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</row>
    <row r="1791" spans="1:15" x14ac:dyDescent="0.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</row>
    <row r="1792" spans="1:15" x14ac:dyDescent="0.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</row>
    <row r="1793" spans="1:15" x14ac:dyDescent="0.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</row>
    <row r="1794" spans="1:15" x14ac:dyDescent="0.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</row>
    <row r="1795" spans="1:15" x14ac:dyDescent="0.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</row>
    <row r="1796" spans="1:15" x14ac:dyDescent="0.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</row>
    <row r="1797" spans="1:15" x14ac:dyDescent="0.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</row>
    <row r="1798" spans="1:15" x14ac:dyDescent="0.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</row>
    <row r="1799" spans="1:15" x14ac:dyDescent="0.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</row>
    <row r="1800" spans="1:15" x14ac:dyDescent="0.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</row>
    <row r="1801" spans="1:15" x14ac:dyDescent="0.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</row>
    <row r="1802" spans="1:15" x14ac:dyDescent="0.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</row>
    <row r="1803" spans="1:15" x14ac:dyDescent="0.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</row>
    <row r="1804" spans="1:15" x14ac:dyDescent="0.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</row>
    <row r="1805" spans="1:15" x14ac:dyDescent="0.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</row>
    <row r="1806" spans="1:15" x14ac:dyDescent="0.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</row>
    <row r="1807" spans="1:15" x14ac:dyDescent="0.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</row>
    <row r="1808" spans="1:15" x14ac:dyDescent="0.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</row>
    <row r="1809" spans="1:15" x14ac:dyDescent="0.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</row>
    <row r="1810" spans="1:15" x14ac:dyDescent="0.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</row>
    <row r="1811" spans="1:15" x14ac:dyDescent="0.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</row>
    <row r="1812" spans="1:15" x14ac:dyDescent="0.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</row>
    <row r="1813" spans="1:15" x14ac:dyDescent="0.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</row>
    <row r="1814" spans="1:15" x14ac:dyDescent="0.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</row>
    <row r="1815" spans="1:15" x14ac:dyDescent="0.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</row>
    <row r="1816" spans="1:15" x14ac:dyDescent="0.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</row>
    <row r="1817" spans="1:15" x14ac:dyDescent="0.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</row>
    <row r="1818" spans="1:15" x14ac:dyDescent="0.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</row>
    <row r="1819" spans="1:15" x14ac:dyDescent="0.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</row>
    <row r="1820" spans="1:15" x14ac:dyDescent="0.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</row>
    <row r="1821" spans="1:15" x14ac:dyDescent="0.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</row>
    <row r="1822" spans="1:15" x14ac:dyDescent="0.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</row>
    <row r="1823" spans="1:15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</row>
    <row r="1824" spans="1:15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</row>
    <row r="1825" spans="1:15" x14ac:dyDescent="0.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</row>
    <row r="1826" spans="1:15" x14ac:dyDescent="0.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</row>
    <row r="1827" spans="1:15" x14ac:dyDescent="0.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</row>
    <row r="1828" spans="1:15" x14ac:dyDescent="0.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</row>
    <row r="1829" spans="1:15" x14ac:dyDescent="0.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</row>
    <row r="1830" spans="1:15" x14ac:dyDescent="0.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</row>
    <row r="1831" spans="1:15" x14ac:dyDescent="0.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</row>
    <row r="1832" spans="1:15" x14ac:dyDescent="0.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</row>
    <row r="1833" spans="1:15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</row>
    <row r="1834" spans="1:15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</row>
    <row r="1835" spans="1:15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</row>
    <row r="1836" spans="1:15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</row>
    <row r="1837" spans="1:15" x14ac:dyDescent="0.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</row>
    <row r="1838" spans="1:15" x14ac:dyDescent="0.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</row>
    <row r="1839" spans="1:15" x14ac:dyDescent="0.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</row>
    <row r="1840" spans="1:15" x14ac:dyDescent="0.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</row>
    <row r="1841" spans="1:15" x14ac:dyDescent="0.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</row>
    <row r="1842" spans="1:15" x14ac:dyDescent="0.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</row>
    <row r="1843" spans="1:15" x14ac:dyDescent="0.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</row>
    <row r="1844" spans="1:15" x14ac:dyDescent="0.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</row>
    <row r="1845" spans="1:15" x14ac:dyDescent="0.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</row>
    <row r="1846" spans="1:15" x14ac:dyDescent="0.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</row>
    <row r="1847" spans="1:15" x14ac:dyDescent="0.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</row>
    <row r="1848" spans="1:15" x14ac:dyDescent="0.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</row>
    <row r="1849" spans="1:15" x14ac:dyDescent="0.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</row>
    <row r="1850" spans="1:15" x14ac:dyDescent="0.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</row>
    <row r="1851" spans="1:15" x14ac:dyDescent="0.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</row>
    <row r="1852" spans="1:15" x14ac:dyDescent="0.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</row>
    <row r="1853" spans="1:15" x14ac:dyDescent="0.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</row>
    <row r="1854" spans="1:15" x14ac:dyDescent="0.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</row>
    <row r="1855" spans="1:15" x14ac:dyDescent="0.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</row>
    <row r="1856" spans="1:15" x14ac:dyDescent="0.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</row>
    <row r="1857" spans="1:15" x14ac:dyDescent="0.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</row>
    <row r="1858" spans="1:15" x14ac:dyDescent="0.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</row>
    <row r="1859" spans="1:15" x14ac:dyDescent="0.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</row>
    <row r="1860" spans="1:15" x14ac:dyDescent="0.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</row>
    <row r="1861" spans="1:15" x14ac:dyDescent="0.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</row>
    <row r="1862" spans="1:15" x14ac:dyDescent="0.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</row>
    <row r="1863" spans="1:15" x14ac:dyDescent="0.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</row>
    <row r="1864" spans="1:15" x14ac:dyDescent="0.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</row>
    <row r="1865" spans="1:15" x14ac:dyDescent="0.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</row>
    <row r="1866" spans="1:15" x14ac:dyDescent="0.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</row>
    <row r="1867" spans="1:15" x14ac:dyDescent="0.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</row>
    <row r="1868" spans="1:15" x14ac:dyDescent="0.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</row>
    <row r="1869" spans="1:15" x14ac:dyDescent="0.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</row>
    <row r="1870" spans="1:15" x14ac:dyDescent="0.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</row>
    <row r="1871" spans="1:15" x14ac:dyDescent="0.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</row>
    <row r="1872" spans="1:15" x14ac:dyDescent="0.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</row>
    <row r="1873" spans="1:15" x14ac:dyDescent="0.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</row>
    <row r="1874" spans="1:15" x14ac:dyDescent="0.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</row>
    <row r="1875" spans="1:15" x14ac:dyDescent="0.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</row>
    <row r="1876" spans="1:15" x14ac:dyDescent="0.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</row>
    <row r="1877" spans="1:15" x14ac:dyDescent="0.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</row>
    <row r="1878" spans="1:15" x14ac:dyDescent="0.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</row>
    <row r="1879" spans="1:15" x14ac:dyDescent="0.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</row>
    <row r="1880" spans="1:15" x14ac:dyDescent="0.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</row>
    <row r="1881" spans="1:15" x14ac:dyDescent="0.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</row>
    <row r="1882" spans="1:15" x14ac:dyDescent="0.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</row>
    <row r="1883" spans="1:15" x14ac:dyDescent="0.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</row>
    <row r="1884" spans="1:15" x14ac:dyDescent="0.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</row>
    <row r="1885" spans="1:15" x14ac:dyDescent="0.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</row>
    <row r="1886" spans="1:15" x14ac:dyDescent="0.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</row>
    <row r="1887" spans="1:15" x14ac:dyDescent="0.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</row>
    <row r="1888" spans="1:15" x14ac:dyDescent="0.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</row>
    <row r="1889" spans="1:15" x14ac:dyDescent="0.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</row>
    <row r="1890" spans="1:15" x14ac:dyDescent="0.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</row>
    <row r="1891" spans="1:15" x14ac:dyDescent="0.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</row>
    <row r="1892" spans="1:15" x14ac:dyDescent="0.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</row>
    <row r="1893" spans="1:15" x14ac:dyDescent="0.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</row>
    <row r="1894" spans="1:15" x14ac:dyDescent="0.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</row>
    <row r="1895" spans="1:15" x14ac:dyDescent="0.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</row>
    <row r="1896" spans="1:15" x14ac:dyDescent="0.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</row>
    <row r="1897" spans="1:15" x14ac:dyDescent="0.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</row>
    <row r="1898" spans="1:15" x14ac:dyDescent="0.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</row>
    <row r="1899" spans="1:15" x14ac:dyDescent="0.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</row>
    <row r="1900" spans="1:15" x14ac:dyDescent="0.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</row>
    <row r="1901" spans="1:15" x14ac:dyDescent="0.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</row>
    <row r="1902" spans="1:15" x14ac:dyDescent="0.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</row>
    <row r="1903" spans="1:15" x14ac:dyDescent="0.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</row>
    <row r="1904" spans="1:15" x14ac:dyDescent="0.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</row>
    <row r="1905" spans="1:15" x14ac:dyDescent="0.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</row>
    <row r="1906" spans="1:15" x14ac:dyDescent="0.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</row>
    <row r="1907" spans="1:15" x14ac:dyDescent="0.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</row>
    <row r="1908" spans="1:15" x14ac:dyDescent="0.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</row>
    <row r="1909" spans="1:15" x14ac:dyDescent="0.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</row>
    <row r="1910" spans="1:15" x14ac:dyDescent="0.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</row>
    <row r="1911" spans="1:15" x14ac:dyDescent="0.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</row>
    <row r="1912" spans="1:15" x14ac:dyDescent="0.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</row>
    <row r="1913" spans="1:15" x14ac:dyDescent="0.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</row>
    <row r="1914" spans="1:15" x14ac:dyDescent="0.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</row>
    <row r="1915" spans="1:15" x14ac:dyDescent="0.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</row>
    <row r="1916" spans="1:15" x14ac:dyDescent="0.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</row>
    <row r="1917" spans="1:15" x14ac:dyDescent="0.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</row>
    <row r="1918" spans="1:15" x14ac:dyDescent="0.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</row>
    <row r="1919" spans="1:15" x14ac:dyDescent="0.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</row>
    <row r="1920" spans="1:15" x14ac:dyDescent="0.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</row>
    <row r="1921" spans="1:15" x14ac:dyDescent="0.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</row>
    <row r="1922" spans="1:15" x14ac:dyDescent="0.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</row>
    <row r="1923" spans="1:15" x14ac:dyDescent="0.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</row>
    <row r="1924" spans="1:15" x14ac:dyDescent="0.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</row>
    <row r="1925" spans="1:15" x14ac:dyDescent="0.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</row>
    <row r="1926" spans="1:15" x14ac:dyDescent="0.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</row>
    <row r="1927" spans="1:15" x14ac:dyDescent="0.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</row>
    <row r="1928" spans="1:15" x14ac:dyDescent="0.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</row>
    <row r="1929" spans="1:15" x14ac:dyDescent="0.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</row>
    <row r="1930" spans="1:15" x14ac:dyDescent="0.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</row>
    <row r="1931" spans="1:15" x14ac:dyDescent="0.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</row>
    <row r="1932" spans="1:15" x14ac:dyDescent="0.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</row>
    <row r="1933" spans="1:15" x14ac:dyDescent="0.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</row>
    <row r="1934" spans="1:15" x14ac:dyDescent="0.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</row>
    <row r="1935" spans="1:15" x14ac:dyDescent="0.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</row>
    <row r="1936" spans="1:15" x14ac:dyDescent="0.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</row>
    <row r="1937" spans="1:15" x14ac:dyDescent="0.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</row>
    <row r="1938" spans="1:15" x14ac:dyDescent="0.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</row>
    <row r="1939" spans="1:15" x14ac:dyDescent="0.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</row>
    <row r="1940" spans="1:15" x14ac:dyDescent="0.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</row>
    <row r="1941" spans="1:15" x14ac:dyDescent="0.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</row>
    <row r="1942" spans="1:15" x14ac:dyDescent="0.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</row>
    <row r="1943" spans="1:15" x14ac:dyDescent="0.2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</row>
    <row r="1944" spans="1:15" x14ac:dyDescent="0.2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</row>
    <row r="1945" spans="1:15" x14ac:dyDescent="0.2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</row>
    <row r="1946" spans="1:15" x14ac:dyDescent="0.2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</row>
    <row r="1947" spans="1:15" x14ac:dyDescent="0.2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</row>
    <row r="1948" spans="1:15" x14ac:dyDescent="0.2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</row>
    <row r="1949" spans="1:15" x14ac:dyDescent="0.2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</row>
    <row r="1950" spans="1:15" x14ac:dyDescent="0.2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</row>
    <row r="1951" spans="1:15" x14ac:dyDescent="0.2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</row>
    <row r="1952" spans="1:15" x14ac:dyDescent="0.2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</row>
    <row r="1953" spans="1:15" x14ac:dyDescent="0.2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</row>
    <row r="1954" spans="1:15" x14ac:dyDescent="0.2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</row>
    <row r="1955" spans="1:15" x14ac:dyDescent="0.2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</row>
    <row r="1956" spans="1:15" x14ac:dyDescent="0.2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</row>
    <row r="1957" spans="1:15" x14ac:dyDescent="0.2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</row>
    <row r="1958" spans="1:15" x14ac:dyDescent="0.2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</row>
    <row r="1959" spans="1:15" x14ac:dyDescent="0.2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</row>
    <row r="1960" spans="1:15" x14ac:dyDescent="0.2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</row>
    <row r="1961" spans="1:15" x14ac:dyDescent="0.2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</row>
    <row r="1962" spans="1:15" x14ac:dyDescent="0.2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</row>
    <row r="1963" spans="1:15" x14ac:dyDescent="0.2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</row>
    <row r="1964" spans="1:15" x14ac:dyDescent="0.2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</row>
    <row r="1965" spans="1:15" x14ac:dyDescent="0.2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</row>
    <row r="1966" spans="1:15" x14ac:dyDescent="0.2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</row>
    <row r="1967" spans="1:15" x14ac:dyDescent="0.2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</row>
    <row r="1968" spans="1:15" x14ac:dyDescent="0.2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</row>
    <row r="1969" spans="1:15" x14ac:dyDescent="0.2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</row>
    <row r="1970" spans="1:15" x14ac:dyDescent="0.2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</row>
    <row r="1971" spans="1:15" x14ac:dyDescent="0.2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</row>
    <row r="1972" spans="1:15" x14ac:dyDescent="0.2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</row>
    <row r="1973" spans="1:15" x14ac:dyDescent="0.2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</row>
    <row r="1974" spans="1:15" x14ac:dyDescent="0.2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</row>
    <row r="1975" spans="1:15" x14ac:dyDescent="0.2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</row>
    <row r="1976" spans="1:15" x14ac:dyDescent="0.2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</row>
    <row r="1977" spans="1:15" x14ac:dyDescent="0.2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</row>
    <row r="1978" spans="1:15" x14ac:dyDescent="0.2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</row>
    <row r="1979" spans="1:15" x14ac:dyDescent="0.2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</row>
    <row r="1980" spans="1:15" x14ac:dyDescent="0.2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</row>
    <row r="1981" spans="1:15" x14ac:dyDescent="0.2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</row>
    <row r="1982" spans="1:15" x14ac:dyDescent="0.2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</row>
    <row r="1983" spans="1:15" x14ac:dyDescent="0.2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</row>
    <row r="1984" spans="1:15" x14ac:dyDescent="0.2">
      <c r="A1984" s="43"/>
      <c r="B1984" s="43"/>
      <c r="C1984" s="43"/>
      <c r="D1984" s="43"/>
      <c r="E1984" s="43"/>
      <c r="F1984" s="43"/>
      <c r="G1984" s="43"/>
      <c r="H1984" s="43"/>
      <c r="I1984" s="43"/>
      <c r="J1984" s="43"/>
      <c r="K1984" s="43"/>
      <c r="L1984" s="43"/>
      <c r="M1984" s="43"/>
      <c r="N1984" s="43"/>
      <c r="O1984" s="43"/>
    </row>
    <row r="1985" spans="1:15" x14ac:dyDescent="0.2">
      <c r="A1985" s="43"/>
      <c r="B1985" s="43"/>
      <c r="C1985" s="43"/>
      <c r="D1985" s="43"/>
      <c r="E1985" s="43"/>
      <c r="F1985" s="43"/>
      <c r="G1985" s="43"/>
      <c r="H1985" s="43"/>
      <c r="I1985" s="43"/>
      <c r="J1985" s="43"/>
      <c r="K1985" s="43"/>
      <c r="L1985" s="43"/>
      <c r="M1985" s="43"/>
      <c r="N1985" s="43"/>
      <c r="O1985" s="43"/>
    </row>
    <row r="1986" spans="1:15" x14ac:dyDescent="0.2">
      <c r="A1986" s="43"/>
      <c r="B1986" s="43"/>
      <c r="C1986" s="43"/>
      <c r="D1986" s="43"/>
      <c r="E1986" s="43"/>
      <c r="F1986" s="43"/>
      <c r="G1986" s="43"/>
      <c r="H1986" s="43"/>
      <c r="I1986" s="43"/>
      <c r="J1986" s="43"/>
      <c r="K1986" s="43"/>
      <c r="L1986" s="43"/>
      <c r="M1986" s="43"/>
      <c r="N1986" s="43"/>
      <c r="O1986" s="43"/>
    </row>
    <row r="1987" spans="1:15" x14ac:dyDescent="0.2">
      <c r="A1987" s="43"/>
      <c r="B1987" s="43"/>
      <c r="C1987" s="43"/>
      <c r="D1987" s="43"/>
      <c r="E1987" s="43"/>
      <c r="F1987" s="43"/>
      <c r="G1987" s="43"/>
      <c r="H1987" s="43"/>
      <c r="I1987" s="43"/>
      <c r="J1987" s="43"/>
      <c r="K1987" s="43"/>
      <c r="L1987" s="43"/>
      <c r="M1987" s="43"/>
      <c r="N1987" s="43"/>
      <c r="O1987" s="43"/>
    </row>
    <row r="1988" spans="1:15" x14ac:dyDescent="0.2">
      <c r="A1988" s="43"/>
      <c r="B1988" s="43"/>
      <c r="C1988" s="43"/>
      <c r="D1988" s="43"/>
      <c r="E1988" s="43"/>
      <c r="F1988" s="43"/>
      <c r="G1988" s="43"/>
      <c r="H1988" s="43"/>
      <c r="I1988" s="43"/>
      <c r="J1988" s="43"/>
      <c r="K1988" s="43"/>
      <c r="L1988" s="43"/>
      <c r="M1988" s="43"/>
      <c r="N1988" s="43"/>
      <c r="O1988" s="43"/>
    </row>
    <row r="1989" spans="1:15" x14ac:dyDescent="0.2">
      <c r="A1989" s="43"/>
      <c r="B1989" s="43"/>
      <c r="C1989" s="43"/>
      <c r="D1989" s="43"/>
      <c r="E1989" s="43"/>
      <c r="F1989" s="43"/>
      <c r="G1989" s="43"/>
      <c r="H1989" s="43"/>
      <c r="I1989" s="43"/>
      <c r="J1989" s="43"/>
      <c r="K1989" s="43"/>
      <c r="L1989" s="43"/>
      <c r="M1989" s="43"/>
      <c r="N1989" s="43"/>
      <c r="O1989" s="43"/>
    </row>
    <row r="1990" spans="1:15" x14ac:dyDescent="0.2">
      <c r="A1990" s="43"/>
      <c r="B1990" s="43"/>
      <c r="C1990" s="43"/>
      <c r="D1990" s="43"/>
      <c r="E1990" s="43"/>
      <c r="F1990" s="43"/>
      <c r="G1990" s="43"/>
      <c r="H1990" s="43"/>
      <c r="I1990" s="43"/>
      <c r="J1990" s="43"/>
      <c r="K1990" s="43"/>
      <c r="L1990" s="43"/>
      <c r="M1990" s="43"/>
      <c r="N1990" s="43"/>
      <c r="O1990" s="43"/>
    </row>
    <row r="1991" spans="1:15" x14ac:dyDescent="0.2">
      <c r="A1991" s="43"/>
      <c r="B1991" s="43"/>
      <c r="C1991" s="43"/>
      <c r="D1991" s="43"/>
      <c r="E1991" s="43"/>
      <c r="F1991" s="43"/>
      <c r="G1991" s="43"/>
      <c r="H1991" s="43"/>
      <c r="I1991" s="43"/>
      <c r="J1991" s="43"/>
      <c r="K1991" s="43"/>
      <c r="L1991" s="43"/>
      <c r="M1991" s="43"/>
      <c r="N1991" s="43"/>
      <c r="O1991" s="43"/>
    </row>
    <row r="1992" spans="1:15" x14ac:dyDescent="0.2">
      <c r="A1992" s="43"/>
      <c r="B1992" s="43"/>
      <c r="C1992" s="43"/>
      <c r="D1992" s="43"/>
      <c r="E1992" s="43"/>
      <c r="F1992" s="43"/>
      <c r="G1992" s="43"/>
      <c r="H1992" s="43"/>
      <c r="I1992" s="43"/>
      <c r="J1992" s="43"/>
      <c r="K1992" s="43"/>
      <c r="L1992" s="43"/>
      <c r="M1992" s="43"/>
      <c r="N1992" s="43"/>
      <c r="O1992" s="43"/>
    </row>
    <row r="1993" spans="1:15" x14ac:dyDescent="0.2">
      <c r="A1993" s="43"/>
      <c r="B1993" s="43"/>
      <c r="C1993" s="43"/>
      <c r="D1993" s="43"/>
      <c r="E1993" s="43"/>
      <c r="F1993" s="43"/>
      <c r="G1993" s="43"/>
      <c r="H1993" s="43"/>
      <c r="I1993" s="43"/>
      <c r="J1993" s="43"/>
      <c r="K1993" s="43"/>
      <c r="L1993" s="43"/>
      <c r="M1993" s="43"/>
      <c r="N1993" s="43"/>
      <c r="O1993" s="43"/>
    </row>
    <row r="1994" spans="1:15" x14ac:dyDescent="0.2">
      <c r="A1994" s="43"/>
      <c r="B1994" s="43"/>
      <c r="C1994" s="43"/>
      <c r="D1994" s="43"/>
      <c r="E1994" s="43"/>
      <c r="F1994" s="43"/>
      <c r="G1994" s="43"/>
      <c r="H1994" s="43"/>
      <c r="I1994" s="43"/>
      <c r="J1994" s="43"/>
      <c r="K1994" s="43"/>
      <c r="L1994" s="43"/>
      <c r="M1994" s="43"/>
      <c r="N1994" s="43"/>
      <c r="O1994" s="43"/>
    </row>
    <row r="1995" spans="1:15" x14ac:dyDescent="0.2">
      <c r="A1995" s="43"/>
      <c r="B1995" s="43"/>
      <c r="C1995" s="43"/>
      <c r="D1995" s="43"/>
      <c r="E1995" s="43"/>
      <c r="F1995" s="43"/>
      <c r="G1995" s="43"/>
      <c r="H1995" s="43"/>
      <c r="I1995" s="43"/>
      <c r="J1995" s="43"/>
      <c r="K1995" s="43"/>
      <c r="L1995" s="43"/>
      <c r="M1995" s="43"/>
      <c r="N1995" s="43"/>
      <c r="O1995" s="43"/>
    </row>
    <row r="1996" spans="1:15" x14ac:dyDescent="0.2">
      <c r="A1996" s="43"/>
      <c r="B1996" s="43"/>
      <c r="C1996" s="43"/>
      <c r="D1996" s="43"/>
      <c r="E1996" s="43"/>
      <c r="F1996" s="43"/>
      <c r="G1996" s="43"/>
      <c r="H1996" s="43"/>
      <c r="I1996" s="43"/>
      <c r="J1996" s="43"/>
      <c r="K1996" s="43"/>
      <c r="L1996" s="43"/>
      <c r="M1996" s="43"/>
      <c r="N1996" s="43"/>
      <c r="O1996" s="43"/>
    </row>
    <row r="1997" spans="1:15" x14ac:dyDescent="0.2">
      <c r="A1997" s="43"/>
      <c r="B1997" s="43"/>
      <c r="C1997" s="43"/>
      <c r="D1997" s="43"/>
      <c r="E1997" s="43"/>
      <c r="F1997" s="43"/>
      <c r="G1997" s="43"/>
      <c r="H1997" s="43"/>
      <c r="I1997" s="43"/>
      <c r="J1997" s="43"/>
      <c r="K1997" s="43"/>
      <c r="L1997" s="43"/>
      <c r="M1997" s="43"/>
      <c r="N1997" s="43"/>
      <c r="O1997" s="43"/>
    </row>
    <row r="1998" spans="1:15" x14ac:dyDescent="0.2">
      <c r="A1998" s="43"/>
      <c r="B1998" s="43"/>
      <c r="C1998" s="43"/>
      <c r="D1998" s="43"/>
      <c r="E1998" s="43"/>
      <c r="F1998" s="43"/>
      <c r="G1998" s="43"/>
      <c r="H1998" s="43"/>
      <c r="I1998" s="43"/>
      <c r="J1998" s="43"/>
      <c r="K1998" s="43"/>
      <c r="L1998" s="43"/>
      <c r="M1998" s="43"/>
      <c r="N1998" s="43"/>
      <c r="O1998" s="43"/>
    </row>
    <row r="1999" spans="1:15" x14ac:dyDescent="0.2">
      <c r="A1999" s="43"/>
      <c r="B1999" s="43"/>
      <c r="C1999" s="43"/>
      <c r="D1999" s="43"/>
      <c r="E1999" s="43"/>
      <c r="F1999" s="43"/>
      <c r="G1999" s="43"/>
      <c r="H1999" s="43"/>
      <c r="I1999" s="43"/>
      <c r="J1999" s="43"/>
      <c r="K1999" s="43"/>
      <c r="L1999" s="43"/>
      <c r="M1999" s="43"/>
      <c r="N1999" s="43"/>
      <c r="O1999" s="43"/>
    </row>
    <row r="2000" spans="1:15" x14ac:dyDescent="0.2">
      <c r="A2000" s="43"/>
      <c r="B2000" s="43"/>
      <c r="C2000" s="43"/>
      <c r="D2000" s="43"/>
      <c r="E2000" s="43"/>
      <c r="F2000" s="43"/>
      <c r="G2000" s="43"/>
      <c r="H2000" s="43"/>
      <c r="I2000" s="43"/>
      <c r="J2000" s="43"/>
      <c r="K2000" s="43"/>
      <c r="L2000" s="43"/>
      <c r="M2000" s="43"/>
      <c r="N2000" s="43"/>
      <c r="O2000" s="43"/>
    </row>
    <row r="2001" spans="1:15" x14ac:dyDescent="0.2">
      <c r="A2001" s="43"/>
      <c r="B2001" s="43"/>
      <c r="C2001" s="43"/>
      <c r="D2001" s="43"/>
      <c r="E2001" s="43"/>
      <c r="F2001" s="43"/>
      <c r="G2001" s="43"/>
      <c r="H2001" s="43"/>
      <c r="I2001" s="43"/>
      <c r="J2001" s="43"/>
      <c r="K2001" s="43"/>
      <c r="L2001" s="43"/>
      <c r="M2001" s="43"/>
      <c r="N2001" s="43"/>
      <c r="O2001" s="43"/>
    </row>
    <row r="2002" spans="1:15" x14ac:dyDescent="0.2">
      <c r="A2002" s="43"/>
      <c r="B2002" s="43"/>
      <c r="C2002" s="43"/>
      <c r="D2002" s="43"/>
      <c r="E2002" s="43"/>
      <c r="F2002" s="43"/>
      <c r="G2002" s="43"/>
      <c r="H2002" s="43"/>
      <c r="I2002" s="43"/>
      <c r="J2002" s="43"/>
      <c r="K2002" s="43"/>
      <c r="L2002" s="43"/>
      <c r="M2002" s="43"/>
      <c r="N2002" s="43"/>
      <c r="O2002" s="43"/>
    </row>
    <row r="2003" spans="1:15" x14ac:dyDescent="0.2">
      <c r="A2003" s="43"/>
      <c r="B2003" s="43"/>
      <c r="C2003" s="43"/>
      <c r="D2003" s="43"/>
      <c r="E2003" s="43"/>
      <c r="F2003" s="43"/>
      <c r="G2003" s="43"/>
      <c r="H2003" s="43"/>
      <c r="I2003" s="43"/>
      <c r="J2003" s="43"/>
      <c r="K2003" s="43"/>
      <c r="L2003" s="43"/>
      <c r="M2003" s="43"/>
      <c r="N2003" s="43"/>
      <c r="O2003" s="43"/>
    </row>
    <row r="2004" spans="1:15" x14ac:dyDescent="0.2">
      <c r="A2004" s="43"/>
      <c r="B2004" s="43"/>
      <c r="C2004" s="43"/>
      <c r="D2004" s="43"/>
      <c r="E2004" s="43"/>
      <c r="F2004" s="43"/>
      <c r="G2004" s="43"/>
      <c r="H2004" s="43"/>
      <c r="I2004" s="43"/>
      <c r="J2004" s="43"/>
      <c r="K2004" s="43"/>
      <c r="L2004" s="43"/>
      <c r="M2004" s="43"/>
      <c r="N2004" s="43"/>
      <c r="O2004" s="43"/>
    </row>
    <row r="2005" spans="1:15" x14ac:dyDescent="0.2">
      <c r="A2005" s="43"/>
      <c r="B2005" s="43"/>
      <c r="C2005" s="43"/>
      <c r="D2005" s="43"/>
      <c r="E2005" s="43"/>
      <c r="F2005" s="43"/>
      <c r="G2005" s="43"/>
      <c r="H2005" s="43"/>
      <c r="I2005" s="43"/>
      <c r="J2005" s="43"/>
      <c r="K2005" s="43"/>
      <c r="L2005" s="43"/>
      <c r="M2005" s="43"/>
    </row>
    <row r="2006" spans="1:15" x14ac:dyDescent="0.2">
      <c r="A2006" s="43"/>
      <c r="B2006" s="43"/>
      <c r="C2006" s="43"/>
      <c r="D2006" s="43"/>
      <c r="E2006" s="43"/>
      <c r="F2006" s="43"/>
      <c r="G2006" s="43"/>
      <c r="H2006" s="43"/>
      <c r="I2006" s="43"/>
      <c r="J2006" s="43"/>
      <c r="K2006" s="43"/>
      <c r="L2006" s="43"/>
      <c r="M2006" s="43"/>
    </row>
    <row r="2007" spans="1:15" x14ac:dyDescent="0.2">
      <c r="A2007" s="43"/>
      <c r="B2007" s="43"/>
      <c r="C2007" s="43"/>
      <c r="D2007" s="43"/>
      <c r="E2007" s="43"/>
      <c r="F2007" s="43"/>
      <c r="G2007" s="43"/>
      <c r="H2007" s="43"/>
      <c r="I2007" s="43"/>
      <c r="J2007" s="43"/>
      <c r="K2007" s="43"/>
      <c r="L2007" s="43"/>
      <c r="M2007" s="43"/>
    </row>
    <row r="2008" spans="1:15" x14ac:dyDescent="0.2">
      <c r="A2008" s="43"/>
      <c r="B2008" s="43"/>
      <c r="C2008" s="43"/>
      <c r="D2008" s="43"/>
      <c r="E2008" s="43"/>
      <c r="F2008" s="43"/>
      <c r="G2008" s="43"/>
      <c r="H2008" s="43"/>
      <c r="I2008" s="43"/>
      <c r="J2008" s="43"/>
      <c r="K2008" s="43"/>
      <c r="L2008" s="43"/>
      <c r="M2008" s="43"/>
    </row>
    <row r="2009" spans="1:15" x14ac:dyDescent="0.2">
      <c r="A2009" s="43"/>
      <c r="B2009" s="43"/>
      <c r="C2009" s="43"/>
      <c r="D2009" s="43"/>
      <c r="E2009" s="43"/>
      <c r="F2009" s="43"/>
      <c r="G2009" s="43"/>
      <c r="H2009" s="43"/>
      <c r="I2009" s="43"/>
      <c r="J2009" s="43"/>
      <c r="K2009" s="43"/>
      <c r="L2009" s="43"/>
      <c r="M2009" s="43"/>
    </row>
    <row r="2010" spans="1:15" x14ac:dyDescent="0.2">
      <c r="A2010" s="43"/>
      <c r="B2010" s="43"/>
      <c r="C2010" s="43"/>
      <c r="D2010" s="43"/>
      <c r="E2010" s="43"/>
      <c r="F2010" s="43"/>
      <c r="G2010" s="43"/>
      <c r="H2010" s="43"/>
      <c r="I2010" s="43"/>
      <c r="J2010" s="43"/>
      <c r="K2010" s="43"/>
      <c r="L2010" s="43"/>
      <c r="M20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8916-C997-4F0B-AAEE-F61E00AD18B3}">
  <dimension ref="A1:O325"/>
  <sheetViews>
    <sheetView zoomScale="90" zoomScaleNormal="90" workbookViewId="0">
      <selection activeCell="E28" sqref="E28"/>
    </sheetView>
  </sheetViews>
  <sheetFormatPr defaultRowHeight="12.75" x14ac:dyDescent="0.2"/>
  <cols>
    <col min="1" max="1" width="16.140625" style="41" bestFit="1" customWidth="1"/>
    <col min="2" max="2" width="39.7109375" style="41" bestFit="1" customWidth="1"/>
    <col min="3" max="3" width="12" style="41" bestFit="1" customWidth="1"/>
    <col min="4" max="4" width="13.5703125" style="41" customWidth="1"/>
    <col min="5" max="6" width="8.5703125" style="41" bestFit="1" customWidth="1"/>
    <col min="7" max="8" width="7" style="41" bestFit="1" customWidth="1"/>
    <col min="9" max="13" width="8.5703125" style="41" bestFit="1" customWidth="1"/>
    <col min="14" max="14" width="7.5703125" style="41" bestFit="1" customWidth="1"/>
    <col min="15" max="15" width="10.28515625" style="41" bestFit="1" customWidth="1"/>
    <col min="16" max="16384" width="9.140625" style="41"/>
  </cols>
  <sheetData>
    <row r="1" spans="1:15" ht="15" x14ac:dyDescent="0.25">
      <c r="A1" s="44" t="s">
        <v>11</v>
      </c>
      <c r="B1" s="45" t="s">
        <v>62</v>
      </c>
      <c r="D1" s="42" t="s">
        <v>161</v>
      </c>
    </row>
    <row r="2" spans="1:15" x14ac:dyDescent="0.2">
      <c r="A2" s="44" t="s">
        <v>14</v>
      </c>
      <c r="B2" s="45" t="s">
        <v>42</v>
      </c>
    </row>
    <row r="4" spans="1:15" x14ac:dyDescent="0.2">
      <c r="A4" s="44" t="s">
        <v>160</v>
      </c>
      <c r="B4" s="45"/>
      <c r="C4" s="44" t="s">
        <v>7</v>
      </c>
      <c r="D4" s="44" t="s">
        <v>8</v>
      </c>
      <c r="E4"/>
      <c r="F4"/>
      <c r="G4"/>
      <c r="H4"/>
      <c r="I4"/>
      <c r="J4"/>
      <c r="K4"/>
      <c r="L4"/>
      <c r="M4"/>
      <c r="N4"/>
      <c r="O4"/>
    </row>
    <row r="5" spans="1:15" x14ac:dyDescent="0.2">
      <c r="A5" s="45"/>
      <c r="B5" s="45"/>
      <c r="C5" s="45">
        <v>2026</v>
      </c>
      <c r="D5" s="45" t="s">
        <v>1</v>
      </c>
      <c r="E5"/>
      <c r="F5"/>
      <c r="G5"/>
      <c r="H5"/>
      <c r="I5"/>
      <c r="J5"/>
      <c r="K5"/>
      <c r="L5"/>
      <c r="M5"/>
      <c r="N5"/>
      <c r="O5"/>
    </row>
    <row r="6" spans="1:15" x14ac:dyDescent="0.2">
      <c r="A6" s="44" t="s">
        <v>4</v>
      </c>
      <c r="B6" s="44" t="s">
        <v>5</v>
      </c>
      <c r="C6" s="45">
        <v>7</v>
      </c>
      <c r="D6" s="45"/>
      <c r="E6"/>
      <c r="F6"/>
      <c r="G6"/>
      <c r="H6"/>
      <c r="I6"/>
      <c r="J6"/>
      <c r="K6"/>
      <c r="L6"/>
      <c r="M6"/>
      <c r="N6"/>
      <c r="O6"/>
    </row>
    <row r="7" spans="1:15" x14ac:dyDescent="0.2">
      <c r="A7" s="45">
        <v>1000002360</v>
      </c>
      <c r="B7" s="45" t="s">
        <v>61</v>
      </c>
      <c r="C7" s="46">
        <v>401</v>
      </c>
      <c r="D7" s="46">
        <v>401</v>
      </c>
      <c r="E7"/>
      <c r="F7"/>
      <c r="G7"/>
      <c r="H7"/>
      <c r="I7"/>
      <c r="J7"/>
      <c r="K7"/>
      <c r="L7"/>
      <c r="M7"/>
      <c r="N7"/>
      <c r="O7"/>
    </row>
    <row r="8" spans="1:15" x14ac:dyDescent="0.2">
      <c r="A8" s="45">
        <v>1000003132</v>
      </c>
      <c r="B8" s="45" t="s">
        <v>116</v>
      </c>
      <c r="C8" s="46">
        <v>567</v>
      </c>
      <c r="D8" s="46">
        <v>567</v>
      </c>
      <c r="E8"/>
      <c r="F8"/>
      <c r="G8"/>
      <c r="H8"/>
      <c r="I8"/>
      <c r="J8"/>
      <c r="K8"/>
      <c r="L8"/>
      <c r="M8"/>
      <c r="N8"/>
      <c r="O8"/>
    </row>
    <row r="9" spans="1:15" x14ac:dyDescent="0.2">
      <c r="A9" s="45">
        <v>1000003180</v>
      </c>
      <c r="B9" s="45" t="s">
        <v>88</v>
      </c>
      <c r="C9" s="46">
        <v>198</v>
      </c>
      <c r="D9" s="46">
        <v>198</v>
      </c>
      <c r="E9"/>
      <c r="F9"/>
      <c r="G9"/>
      <c r="H9"/>
      <c r="I9"/>
      <c r="J9"/>
      <c r="K9"/>
      <c r="L9"/>
      <c r="M9"/>
      <c r="N9"/>
      <c r="O9"/>
    </row>
    <row r="10" spans="1:15" x14ac:dyDescent="0.2">
      <c r="A10" s="45">
        <v>1000003229</v>
      </c>
      <c r="B10" s="45" t="s">
        <v>121</v>
      </c>
      <c r="C10" s="46">
        <v>140</v>
      </c>
      <c r="D10" s="46">
        <v>140</v>
      </c>
      <c r="E10"/>
      <c r="F10"/>
      <c r="G10"/>
      <c r="H10"/>
      <c r="I10"/>
      <c r="J10"/>
      <c r="K10"/>
      <c r="L10"/>
      <c r="M10"/>
      <c r="N10"/>
      <c r="O10"/>
    </row>
    <row r="11" spans="1:15" x14ac:dyDescent="0.2">
      <c r="A11" s="45">
        <v>1000003270</v>
      </c>
      <c r="B11" s="45" t="s">
        <v>86</v>
      </c>
      <c r="C11" s="46">
        <v>464</v>
      </c>
      <c r="D11" s="46">
        <v>464</v>
      </c>
      <c r="E11"/>
      <c r="F11"/>
      <c r="G11"/>
      <c r="H11"/>
      <c r="I11"/>
      <c r="J11"/>
      <c r="K11"/>
      <c r="L11"/>
      <c r="M11"/>
      <c r="N11"/>
      <c r="O11"/>
    </row>
    <row r="12" spans="1:15" x14ac:dyDescent="0.2">
      <c r="A12" s="45">
        <v>1000004769</v>
      </c>
      <c r="B12" s="45" t="s">
        <v>85</v>
      </c>
      <c r="C12" s="46">
        <v>858</v>
      </c>
      <c r="D12" s="46">
        <v>858</v>
      </c>
      <c r="E12"/>
      <c r="F12"/>
      <c r="G12"/>
      <c r="H12"/>
      <c r="I12"/>
      <c r="J12"/>
      <c r="K12"/>
      <c r="L12"/>
      <c r="M12"/>
      <c r="N12"/>
      <c r="O12"/>
    </row>
    <row r="13" spans="1:15" x14ac:dyDescent="0.2">
      <c r="A13" s="45">
        <v>1000005103</v>
      </c>
      <c r="B13" s="45" t="s">
        <v>112</v>
      </c>
      <c r="C13" s="46">
        <v>1088</v>
      </c>
      <c r="D13" s="46">
        <v>1088</v>
      </c>
      <c r="E13"/>
      <c r="F13"/>
      <c r="G13"/>
      <c r="H13"/>
      <c r="I13"/>
      <c r="J13"/>
      <c r="K13"/>
      <c r="L13"/>
      <c r="M13"/>
      <c r="N13"/>
      <c r="O13"/>
    </row>
    <row r="14" spans="1:15" x14ac:dyDescent="0.2">
      <c r="A14" s="45">
        <v>1000005599</v>
      </c>
      <c r="B14" s="45" t="s">
        <v>69</v>
      </c>
      <c r="C14" s="46">
        <v>46</v>
      </c>
      <c r="D14" s="46">
        <v>46</v>
      </c>
      <c r="E14"/>
      <c r="F14"/>
      <c r="G14"/>
      <c r="H14"/>
      <c r="I14"/>
      <c r="J14"/>
      <c r="K14"/>
      <c r="L14"/>
      <c r="M14"/>
      <c r="N14"/>
      <c r="O14"/>
    </row>
    <row r="15" spans="1:15" x14ac:dyDescent="0.2">
      <c r="A15" s="45">
        <v>1000006261</v>
      </c>
      <c r="B15" s="45" t="s">
        <v>153</v>
      </c>
      <c r="C15" s="46">
        <v>657</v>
      </c>
      <c r="D15" s="46">
        <v>657</v>
      </c>
      <c r="E15"/>
      <c r="F15"/>
      <c r="G15"/>
      <c r="H15"/>
      <c r="I15"/>
      <c r="J15"/>
      <c r="K15"/>
      <c r="L15"/>
      <c r="M15"/>
      <c r="N15"/>
      <c r="O15"/>
    </row>
    <row r="16" spans="1:15" x14ac:dyDescent="0.2">
      <c r="A16" s="45" t="s">
        <v>1</v>
      </c>
      <c r="B16" s="45"/>
      <c r="C16" s="46">
        <v>4419</v>
      </c>
      <c r="D16" s="46">
        <v>4419</v>
      </c>
      <c r="E16"/>
      <c r="F16"/>
      <c r="G16"/>
      <c r="H16"/>
      <c r="I16"/>
      <c r="J16"/>
      <c r="K16"/>
      <c r="L16"/>
      <c r="M16"/>
      <c r="N16"/>
      <c r="O16"/>
    </row>
    <row r="17" spans="1:15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</row>
    <row r="303" spans="1:15" x14ac:dyDescent="0.2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</row>
    <row r="304" spans="1:15" x14ac:dyDescent="0.2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</row>
    <row r="305" spans="1:15" x14ac:dyDescent="0.2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</row>
    <row r="306" spans="1:15" x14ac:dyDescent="0.2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</row>
    <row r="307" spans="1:15" x14ac:dyDescent="0.2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</row>
    <row r="308" spans="1:15" x14ac:dyDescent="0.2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</row>
    <row r="309" spans="1:15" x14ac:dyDescent="0.2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</row>
    <row r="310" spans="1:15" x14ac:dyDescent="0.2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</row>
    <row r="311" spans="1:15" x14ac:dyDescent="0.2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</row>
    <row r="312" spans="1:15" x14ac:dyDescent="0.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</row>
    <row r="313" spans="1:15" x14ac:dyDescent="0.2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</row>
    <row r="314" spans="1:15" x14ac:dyDescent="0.2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</row>
    <row r="315" spans="1:15" x14ac:dyDescent="0.2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</row>
    <row r="316" spans="1:15" x14ac:dyDescent="0.2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</row>
    <row r="317" spans="1:15" x14ac:dyDescent="0.2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</row>
    <row r="318" spans="1:15" x14ac:dyDescent="0.2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</row>
    <row r="319" spans="1:15" x14ac:dyDescent="0.2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</row>
    <row r="320" spans="1:15" x14ac:dyDescent="0.2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</row>
    <row r="321" spans="1:15" x14ac:dyDescent="0.2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</row>
    <row r="322" spans="1:15" x14ac:dyDescent="0.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</row>
    <row r="323" spans="1:15" x14ac:dyDescent="0.2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</row>
    <row r="324" spans="1:15" x14ac:dyDescent="0.2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</row>
    <row r="325" spans="1:15" x14ac:dyDescent="0.2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Data</vt:lpstr>
      <vt:lpstr>Breakfast Meal Count</vt:lpstr>
      <vt:lpstr>Lunch Meal Count</vt:lpstr>
      <vt:lpstr>Afterschool Snacks</vt:lpstr>
    </vt:vector>
  </TitlesOfParts>
  <Company>mde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wireless</dc:creator>
  <cp:lastModifiedBy>Abbass, Hassan (MDE)</cp:lastModifiedBy>
  <cp:lastPrinted>2010-10-15T15:32:08Z</cp:lastPrinted>
  <dcterms:created xsi:type="dcterms:W3CDTF">2010-10-15T13:43:24Z</dcterms:created>
  <dcterms:modified xsi:type="dcterms:W3CDTF">2026-09-04T17:26:36Z</dcterms:modified>
</cp:coreProperties>
</file>